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Master_Credentials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Tenan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Internal_User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IEW_M365_Admin" sheetId="8" state="visible" r:id="rId8"/>
    <sheet xmlns:r="http://schemas.openxmlformats.org/officeDocument/2006/relationships" name="VIEW_Azure" sheetId="9" state="visible" r:id="rId9"/>
    <sheet xmlns:r="http://schemas.openxmlformats.org/officeDocument/2006/relationships" name="VIEW_Domains_FTP" sheetId="10" state="visible" r:id="rId10"/>
    <sheet xmlns:r="http://schemas.openxmlformats.org/officeDocument/2006/relationships" name="VIEW_Social_Media" sheetId="11" state="visible" r:id="rId11"/>
    <sheet xmlns:r="http://schemas.openxmlformats.org/officeDocument/2006/relationships" name="VIEW_Marketing" sheetId="12" state="visible" r:id="rId12"/>
    <sheet xmlns:r="http://schemas.openxmlformats.org/officeDocument/2006/relationships" name="VIEW_Email" sheetId="13" state="visible" r:id="rId13"/>
    <sheet xmlns:r="http://schemas.openxmlformats.org/officeDocument/2006/relationships" name="VIEW_Expiring_90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-mm-dd h:mm:ss"/>
    <numFmt numFmtId="167" formatCode="YYYY-MM-DD HH:MM"/>
    <numFmt numFmtId="168" formatCode="&quot;Refreshed: &quot;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color rgb="00FFFFFF"/>
      <sz val="9"/>
    </font>
    <font>
      <name val="Segoe UI"/>
      <b val="1"/>
      <color rgb="001F1F1F"/>
      <sz val="9"/>
    </font>
    <font>
      <name val="Segoe UI"/>
      <color rgb="001F1F1F"/>
      <sz val="9"/>
    </font>
    <font>
      <name val="Segoe UI"/>
      <b val="1"/>
      <color rgb="00FFFFFF"/>
      <sz val="8"/>
    </font>
    <font>
      <name val="Segoe UI"/>
      <i val="1"/>
      <color rgb="00555555"/>
      <sz val="9"/>
    </font>
    <font>
      <name val="Segoe UI"/>
      <b val="1"/>
      <color rgb="001F1F1F"/>
      <sz val="11"/>
    </font>
    <font>
      <name val="Segoe UI"/>
      <b val="1"/>
      <color rgb="001F1F1F"/>
      <sz val="10"/>
    </font>
    <font>
      <name val="Segoe U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left" vertical="center" wrapText="1"/>
    </xf>
    <xf numFmtId="167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Credentials" displayName="tblCredentials" ref="A3:BC1003" headerRowCount="1">
  <autoFilter ref="A3:BC1003"/>
  <tableColumns count="55">
    <tableColumn id="1" name="CredentialID"/>
    <tableColumn id="2" name="Tenant Code"/>
    <tableColumn id="3" name="Tenant Name"/>
    <tableColumn id="4" name="Category"/>
    <tableColumn id="5" name="Subcategory"/>
    <tableColumn id="6" name="Service Name"/>
    <tableColumn id="7" name="Service URL"/>
    <tableColumn id="8" name="Environment"/>
    <tableColumn id="9" name="Status"/>
    <tableColumn id="10" name="Priority"/>
    <tableColumn id="11" name="Username Email"/>
    <tableColumn id="12" name="Password"/>
    <tableColumn id="13" name="Recovery Email"/>
    <tableColumn id="14" name="Recovery Phone"/>
    <tableColumn id="15" name="MFA Enabled"/>
    <tableColumn id="16" name="MFA Type"/>
    <tableColumn id="17" name="MFA App Name"/>
    <tableColumn id="18" name="Backup Codes Location"/>
    <tableColumn id="19" name="Security Notes"/>
    <tableColumn id="20" name="Account Display Name"/>
    <tableColumn id="21" name="Account ID"/>
    <tableColumn id="22" name="License Type"/>
    <tableColumn id="23" name="Plan Tier"/>
    <tableColumn id="24" name="Subscription Start"/>
    <tableColumn id="25" name="Subscription End"/>
    <tableColumn id="26" name="Auto Renewal"/>
    <tableColumn id="27" name="Monthly Cost"/>
    <tableColumn id="28" name="Billing Cycle"/>
    <tableColumn id="29" name="Billing Email"/>
    <tableColumn id="30" name="Payment Reference"/>
    <tableColumn id="31" name="Access Level"/>
    <tableColumn id="32" name="Linked CredentialID"/>
    <tableColumn id="33" name="API Key"/>
    <tableColumn id="34" name="API Secret"/>
    <tableColumn id="35" name="Client ID"/>
    <tableColumn id="36" name="Client Secret"/>
    <tableColumn id="37" name="Tenant ID App"/>
    <tableColumn id="38" name="Subscription ID Azure"/>
    <tableColumn id="39" name="Server Hostname"/>
    <tableColumn id="40" name="Port"/>
    <tableColumn id="41" name="Protocol"/>
    <tableColumn id="42" name="Database Name"/>
    <tableColumn id="43" name="Managed By"/>
    <tableColumn id="44" name="Managed By Email"/>
    <tableColumn id="45" name="Created By"/>
    <tableColumn id="46" name="Created Date"/>
    <tableColumn id="47" name="Last Updated By"/>
    <tableColumn id="48" name="Last Updated Date"/>
    <tableColumn id="49" name="Last Verified Date"/>
    <tableColumn id="50" name="Last Password Changed"/>
    <tableColumn id="51" name="Password Expiry Date"/>
    <tableColumn id="52" name="Next Review Date"/>
    <tableColumn id="53" name="Tags"/>
    <tableColumn id="54" name="Notes"/>
    <tableColumn id="55" name="Record 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ChangeLog" displayName="tblChangeLog" ref="A3:N2003" headerRowCount="1">
  <autoFilter ref="A3:N2003"/>
  <tableColumns count="14">
    <tableColumn id="1" name="LogID"/>
    <tableColumn id="2" name="Timestamp"/>
    <tableColumn id="3" name="CredentialID"/>
    <tableColumn id="4" name="Tenant Code"/>
    <tableColumn id="5" name="Tenant Name"/>
    <tableColumn id="6" name="Service Name"/>
    <tableColumn id="7" name="Action"/>
    <tableColumn id="8" name="Field Changed"/>
    <tableColumn id="9" name="Old Value Masked"/>
    <tableColumn id="10" name="New Value Masked"/>
    <tableColumn id="11" name="Changed By"/>
    <tableColumn id="12" name="Changed By Email"/>
    <tableColumn id="13" name="Reason"/>
    <tableColumn id="14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Tenants" displayName="tblTenants" ref="A3:L103" headerRowCount="1">
  <autoFilter ref="A3:L103"/>
  <tableColumns count="12">
    <tableColumn id="1" name="TenantID"/>
    <tableColumn id="2" name="Tenant Code"/>
    <tableColumn id="3" name="Tenant Name"/>
    <tableColumn id="4" name="Industry"/>
    <tableColumn id="5" name="Primary Contact"/>
    <tableColumn id="6" name="Contact Email"/>
    <tableColumn id="7" name="Contact Phone"/>
    <tableColumn id="8" name="Account Manager"/>
    <tableColumn id="9" name="Contract Start"/>
    <tableColumn id="10" name="Contract End"/>
    <tableColumn id="11" name="Status"/>
    <tableColumn id="12" name="No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blCategories" displayName="tblCategories" ref="A3:E53" headerRowCount="1">
  <autoFilter ref="A3:E53"/>
  <tableColumns count="5">
    <tableColumn id="1" name="CategoryID"/>
    <tableColumn id="2" name="Category Name"/>
    <tableColumn id="3" name="Category Code"/>
    <tableColumn id="4" name="Description"/>
    <tableColumn id="5" name="Subcategori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blUsers" displayName="tblUsers" ref="A3:H53" headerRowCount="1">
  <autoFilter ref="A3:H53"/>
  <tableColumns count="8">
    <tableColumn id="1" name="UserID"/>
    <tableColumn id="2" name="Full Name"/>
    <tableColumn id="3" name="Email"/>
    <tableColumn id="4" name="Role"/>
    <tableColumn id="5" name="Department"/>
    <tableColumn id="6" name="Access Level"/>
    <tableColumn id="7" name="Status"/>
    <tableColumn id="8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2" customHeight="1">
      <c r="A1" s="1" t="inlineStr">
        <is>
          <t xml:space="preserve">  Credential Manager — User Guide</t>
        </is>
      </c>
    </row>
    <row r="2" ht="17" customHeight="1">
      <c r="A2" s="2" t="inlineStr">
        <is>
          <t>PURPOSE</t>
        </is>
      </c>
      <c r="B2" s="3" t="inlineStr"/>
    </row>
    <row r="3" ht="17" customHeight="1">
      <c r="A3" s="4" t="inlineStr">
        <is>
          <t>What is this file?</t>
        </is>
      </c>
      <c r="B3" s="5" t="inlineStr">
        <is>
          <t>A centralised credential store for all tenant clients managed by Gravity Business Partners. Stored on SharePoint; also used as the backend datastore for the Credential Manager application.</t>
        </is>
      </c>
    </row>
    <row r="4" ht="17" customHeight="1">
      <c r="A4" s="6" t="inlineStr"/>
      <c r="B4" s="5" t="inlineStr"/>
    </row>
    <row r="5" ht="17" customHeight="1">
      <c r="A5" s="2" t="inlineStr">
        <is>
          <t>SHEETS OVERVIEW</t>
        </is>
      </c>
      <c r="B5" s="3" t="inlineStr"/>
    </row>
    <row r="6" ht="17" customHeight="1">
      <c r="A6" s="4" t="inlineStr">
        <is>
          <t>Master_Credentials</t>
        </is>
      </c>
      <c r="B6" s="5" t="inlineStr">
        <is>
          <t>Single source of truth. All credentials for all tenants live here.</t>
        </is>
      </c>
    </row>
    <row r="7" ht="17" customHeight="1">
      <c r="A7" s="4" t="inlineStr">
        <is>
          <t>Change_Log</t>
        </is>
      </c>
      <c r="B7" s="5" t="inlineStr">
        <is>
          <t>Audit trail. Every create, update, password change and archive action is logged here.</t>
        </is>
      </c>
    </row>
    <row r="8" ht="17" customHeight="1">
      <c r="A8" s="4" t="inlineStr">
        <is>
          <t>Tenants</t>
        </is>
      </c>
      <c r="B8" s="5" t="inlineStr">
        <is>
          <t>Reference list of all client tenants with contact details.</t>
        </is>
      </c>
    </row>
    <row r="9" ht="17" customHeight="1">
      <c r="A9" s="4" t="inlineStr">
        <is>
          <t>Categories</t>
        </is>
      </c>
      <c r="B9" s="5" t="inlineStr">
        <is>
          <t>Lookup table of all credential categories and subcategories.</t>
        </is>
      </c>
    </row>
    <row r="10" ht="17" customHeight="1">
      <c r="A10" s="4" t="inlineStr">
        <is>
          <t>Internal_Users</t>
        </is>
      </c>
      <c r="B10" s="5" t="inlineStr">
        <is>
          <t>Internal staff who have access to this file.</t>
        </is>
      </c>
    </row>
    <row r="11" ht="17" customHeight="1">
      <c r="A11" s="4" t="inlineStr">
        <is>
          <t>Dashboard</t>
        </is>
      </c>
      <c r="B11" s="5" t="inlineStr">
        <is>
          <t>Live summary: counts by status, category, expiry, and tenant.</t>
        </is>
      </c>
    </row>
    <row r="12" ht="17" customHeight="1">
      <c r="A12" s="4" t="inlineStr">
        <is>
          <t>VIEW_*  sheets</t>
        </is>
      </c>
      <c r="B12" s="5" t="inlineStr">
        <is>
          <t>Read-only live views driven by FILTER() formulas. Data always reflects Master_Credentials.</t>
        </is>
      </c>
    </row>
    <row r="13" ht="17" customHeight="1">
      <c r="A13" s="6" t="inlineStr"/>
      <c r="B13" s="5" t="inlineStr"/>
    </row>
    <row r="14" ht="17" customHeight="1">
      <c r="A14" s="2" t="inlineStr">
        <is>
          <t>HOW TO ADD A CREDENTIAL</t>
        </is>
      </c>
      <c r="B14" s="3" t="inlineStr"/>
    </row>
    <row r="15" ht="17" customHeight="1">
      <c r="A15" s="4" t="inlineStr">
        <is>
          <t>Step 1 — Credential ID</t>
        </is>
      </c>
      <c r="B15" s="5" t="inlineStr">
        <is>
          <t>Use format  CRED-YYYY-NNNN  (e.g. CRED-2025-0016). Increment the last 4-digit number.</t>
        </is>
      </c>
    </row>
    <row r="16" ht="17" customHeight="1">
      <c r="A16" s="4" t="inlineStr">
        <is>
          <t>Step 2 — Core fields</t>
        </is>
      </c>
      <c r="B16" s="5" t="inlineStr">
        <is>
          <t>Fill: Tenant_Code, Category, Service_Name, Username_Email, Password, Status, Priority, Managed_By.</t>
        </is>
      </c>
    </row>
    <row r="17" ht="17" customHeight="1">
      <c r="A17" s="4" t="inlineStr">
        <is>
          <t>Step 3 — Save</t>
        </is>
      </c>
      <c r="B17" s="5" t="inlineStr">
        <is>
          <t>Save the Excel file. The web app will sync automatically on next open.</t>
        </is>
      </c>
    </row>
    <row r="18" ht="17" customHeight="1">
      <c r="A18" s="4" t="inlineStr">
        <is>
          <t>Step 4 — Log the action</t>
        </is>
      </c>
      <c r="B18" s="5" t="inlineStr">
        <is>
          <t>Add a row to Change_Log with Action = 'Created' and your name in Changed_By.</t>
        </is>
      </c>
    </row>
    <row r="19" ht="17" customHeight="1">
      <c r="A19" s="6" t="inlineStr"/>
      <c r="B19" s="5" t="inlineStr"/>
    </row>
    <row r="20" ht="17" customHeight="1">
      <c r="A20" s="2" t="inlineStr">
        <is>
          <t>HOW TO UPDATE A PASSWORD</t>
        </is>
      </c>
      <c r="B20" s="3" t="inlineStr"/>
    </row>
    <row r="21" ht="17" customHeight="1">
      <c r="A21" s="6" t="inlineStr"/>
      <c r="B21" s="5" t="inlineStr">
        <is>
          <t>1. Update the Password field in Master_Credentials.</t>
        </is>
      </c>
    </row>
    <row r="22" ht="17" customHeight="1">
      <c r="A22" s="6" t="inlineStr"/>
      <c r="B22" s="5" t="inlineStr">
        <is>
          <t>2. Update Last_Password_Changed to today's date.</t>
        </is>
      </c>
    </row>
    <row r="23" ht="17" customHeight="1">
      <c r="A23" s="6" t="inlineStr"/>
      <c r="B23" s="5" t="inlineStr">
        <is>
          <t>3. Set Last_Updated_By and Last_Updated_Date.</t>
        </is>
      </c>
    </row>
    <row r="24" ht="17" customHeight="1">
      <c r="A24" s="6" t="inlineStr"/>
      <c r="B24" s="5" t="inlineStr">
        <is>
          <t>4. Add a row to Change_Log: Action = 'Password Changed', Field_Changed = 'Password', both value fields = '***'.</t>
        </is>
      </c>
    </row>
    <row r="25" ht="17" customHeight="1">
      <c r="A25" s="6" t="inlineStr"/>
      <c r="B25" s="5" t="inlineStr"/>
    </row>
    <row r="26" ht="17" customHeight="1">
      <c r="A26" s="2" t="inlineStr">
        <is>
          <t>STATUS VALUES</t>
        </is>
      </c>
      <c r="B26" s="3" t="inlineStr"/>
    </row>
    <row r="27" ht="17" customHeight="1">
      <c r="A27" s="4" t="inlineStr">
        <is>
          <t>Active</t>
        </is>
      </c>
      <c r="B27" s="5" t="inlineStr">
        <is>
          <t>Credential is current and working.</t>
        </is>
      </c>
    </row>
    <row r="28" ht="17" customHeight="1">
      <c r="A28" s="4" t="inlineStr">
        <is>
          <t>Inactive</t>
        </is>
      </c>
      <c r="B28" s="5" t="inlineStr">
        <is>
          <t>Temporarily disabled but retained.</t>
        </is>
      </c>
    </row>
    <row r="29" ht="17" customHeight="1">
      <c r="A29" s="4" t="inlineStr">
        <is>
          <t>Expired</t>
        </is>
      </c>
      <c r="B29" s="5" t="inlineStr">
        <is>
          <t>Subscription / access has lapsed. Needs renewal or removal.</t>
        </is>
      </c>
    </row>
    <row r="30" ht="17" customHeight="1">
      <c r="A30" s="4" t="inlineStr">
        <is>
          <t>Compromised</t>
        </is>
      </c>
      <c r="B30" s="5" t="inlineStr">
        <is>
          <t>Suspected or confirmed breach. Change immediately and log.</t>
        </is>
      </c>
    </row>
    <row r="31" ht="17" customHeight="1">
      <c r="A31" s="4" t="inlineStr">
        <is>
          <t>Archived</t>
        </is>
      </c>
      <c r="B31" s="5" t="inlineStr">
        <is>
          <t>No longer needed; kept for historical reference only.</t>
        </is>
      </c>
    </row>
    <row r="32" ht="17" customHeight="1">
      <c r="A32" s="6" t="inlineStr"/>
      <c r="B32" s="5" t="inlineStr"/>
    </row>
    <row r="33" ht="17" customHeight="1">
      <c r="A33" s="2" t="inlineStr">
        <is>
          <t>PRIORITY LEVELS</t>
        </is>
      </c>
      <c r="B33" s="3" t="inlineStr"/>
    </row>
    <row r="34" ht="17" customHeight="1">
      <c r="A34" s="4" t="inlineStr">
        <is>
          <t>Critical</t>
        </is>
      </c>
      <c r="B34" s="5" t="inlineStr">
        <is>
          <t>Business-stopping if lost: global admin, domain registrar, billing accounts.</t>
        </is>
      </c>
    </row>
    <row r="35" ht="17" customHeight="1">
      <c r="A35" s="4" t="inlineStr">
        <is>
          <t>High</t>
        </is>
      </c>
      <c r="B35" s="5" t="inlineStr">
        <is>
          <t>Important service; significant impact if lost.</t>
        </is>
      </c>
    </row>
    <row r="36" ht="17" customHeight="1">
      <c r="A36" s="4" t="inlineStr">
        <is>
          <t>Medium</t>
        </is>
      </c>
      <c r="B36" s="5" t="inlineStr">
        <is>
          <t>Secondary service; moderate impact.</t>
        </is>
      </c>
    </row>
    <row r="37" ht="17" customHeight="1">
      <c r="A37" s="4" t="inlineStr">
        <is>
          <t>Low</t>
        </is>
      </c>
      <c r="B37" s="5" t="inlineStr">
        <is>
          <t>Non-critical; minimal impact.</t>
        </is>
      </c>
    </row>
    <row r="38" ht="17" customHeight="1">
      <c r="A38" s="6" t="inlineStr"/>
      <c r="B38" s="5" t="inlineStr"/>
    </row>
    <row r="39" ht="17" customHeight="1">
      <c r="A39" s="2" t="inlineStr">
        <is>
          <t>CREDENTIAL ID FORMAT</t>
        </is>
      </c>
      <c r="B39" s="3" t="inlineStr"/>
    </row>
    <row r="40" ht="17" customHeight="1">
      <c r="A40" s="4" t="inlineStr">
        <is>
          <t>Format</t>
        </is>
      </c>
      <c r="B40" s="5" t="inlineStr">
        <is>
          <t>CRED-YYYY-NNNN   e.g. CRED-2025-0016</t>
        </is>
      </c>
    </row>
    <row r="41" ht="17" customHeight="1">
      <c r="A41" s="4" t="inlineStr">
        <is>
          <t>Log ID format</t>
        </is>
      </c>
      <c r="B41" s="5" t="inlineStr">
        <is>
          <t>LOG-YYYY-NNNN    e.g. LOG-2025-0008</t>
        </is>
      </c>
    </row>
    <row r="42" ht="17" customHeight="1">
      <c r="A42" s="4" t="inlineStr">
        <is>
          <t>Tenant Code</t>
        </is>
      </c>
      <c r="B42" s="5" t="inlineStr">
        <is>
          <t>3-5 uppercase letters, unique per tenant   e.g. GBP, TAS, BKR</t>
        </is>
      </c>
    </row>
    <row r="43" ht="17" customHeight="1">
      <c r="A43" s="6" t="inlineStr"/>
      <c r="B43" s="5" t="inlineStr"/>
    </row>
    <row r="44" ht="17" customHeight="1">
      <c r="A44" s="2" t="inlineStr">
        <is>
          <t>SECURITY GUIDELINES</t>
        </is>
      </c>
      <c r="B44" s="3" t="inlineStr"/>
    </row>
    <row r="45" ht="17" customHeight="1">
      <c r="A45" s="4" t="inlineStr">
        <is>
          <t>Password field</t>
        </is>
      </c>
      <c r="B45" s="5" t="inlineStr">
        <is>
          <t>Enter the actual password. This file is protected by SharePoint permissions.</t>
        </is>
      </c>
    </row>
    <row r="46" ht="17" customHeight="1">
      <c r="A46" s="4" t="inlineStr">
        <is>
          <t>Sharing</t>
        </is>
      </c>
      <c r="B46" s="5" t="inlineStr">
        <is>
          <t>Never share or email this file outside the approved SharePoint site.</t>
        </is>
      </c>
    </row>
    <row r="47" ht="17" customHeight="1">
      <c r="A47" s="4" t="inlineStr">
        <is>
          <t>API Keys</t>
        </is>
      </c>
      <c r="B47" s="5" t="inlineStr">
        <is>
          <t>Store full API keys in the API_Key / API_Secret columns. Reference 1Password for extra-sensitive items.</t>
        </is>
      </c>
    </row>
    <row r="48" ht="17" customHeight="1">
      <c r="A48" s="4" t="inlineStr">
        <is>
          <t>MFA / 2FA</t>
        </is>
      </c>
      <c r="B48" s="5" t="inlineStr">
        <is>
          <t>Always record MFA type and backup code location.</t>
        </is>
      </c>
    </row>
    <row r="49" ht="17" customHeight="1">
      <c r="A49" s="4" t="inlineStr">
        <is>
          <t>Review Cadence</t>
        </is>
      </c>
      <c r="B49" s="5" t="inlineStr">
        <is>
          <t>Set Next_Review_Date. Quarterly for Critical/High; bi-annually for Medium/Low.</t>
        </is>
      </c>
    </row>
    <row r="50" ht="17" customHeight="1">
      <c r="A50" s="6" t="inlineStr"/>
      <c r="B50" s="5" t="inlineStr"/>
    </row>
    <row r="51" ht="17" customHeight="1">
      <c r="A51" s="2" t="inlineStr">
        <is>
          <t>FILTER VIEWS</t>
        </is>
      </c>
      <c r="B51" s="3" t="inlineStr"/>
    </row>
    <row r="52" ht="17" customHeight="1">
      <c r="A52" s="4" t="inlineStr">
        <is>
          <t>Usage</t>
        </is>
      </c>
      <c r="B52" s="5" t="inlineStr">
        <is>
          <t>VIEW_* sheets use Excel 365 FILTER() dynamic formulas — they update automatically. Do NOT edit data in view sheets; edit in Master_Credentials only.</t>
        </is>
      </c>
    </row>
    <row r="53" ht="17" customHeight="1">
      <c r="A53" s="4" t="inlineStr">
        <is>
          <t>Custom filter</t>
        </is>
      </c>
      <c r="B53" s="5" t="inlineStr">
        <is>
          <t>Use column header dropdowns on Master_Credentials to filter any combination of fields.</t>
        </is>
      </c>
    </row>
    <row r="54" ht="17" customHeight="1">
      <c r="A54" s="6" t="inlineStr"/>
      <c r="B54" s="5" t="inlineStr"/>
    </row>
    <row r="55" ht="17" customHeight="1">
      <c r="A55" s="2" t="inlineStr">
        <is>
          <t>FILE INFORMATION</t>
        </is>
      </c>
      <c r="B55" s="3" t="inlineStr"/>
    </row>
    <row r="56" ht="17" customHeight="1">
      <c r="A56" s="4" t="inlineStr">
        <is>
          <t>Generated</t>
        </is>
      </c>
      <c r="B56" s="5" t="inlineStr">
        <is>
          <t>2026-06-19</t>
        </is>
      </c>
    </row>
    <row r="57" ht="17" customHeight="1">
      <c r="A57" s="4" t="inlineStr">
        <is>
          <t>Generated by</t>
        </is>
      </c>
      <c r="B57" s="5" t="inlineStr">
        <is>
          <t>Gravity Business Partners — Credential Manager Setup Script</t>
        </is>
      </c>
    </row>
    <row r="58" ht="17" customHeight="1">
      <c r="A58" s="4" t="inlineStr">
        <is>
          <t>SharePoint path</t>
        </is>
      </c>
      <c r="B58" s="5" t="inlineStr">
        <is>
          <t>https://&lt;your-tenant&gt;.sharepoint.com/sites/&lt;site&gt;/Shared Documents/Credential_Manager.xlsx</t>
        </is>
      </c>
    </row>
    <row r="59" ht="17" customHeight="1">
      <c r="A59" s="4" t="inlineStr">
        <is>
          <t>Support</t>
        </is>
      </c>
      <c r="B59" s="5" t="inlineStr">
        <is>
          <t>info@gravity-bp.com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MASTER CREDENTIALS — Single Source of Truth</t>
        </is>
      </c>
    </row>
    <row r="2" ht="16" customHeight="1">
      <c r="A2" s="7" t="inlineStr">
        <is>
          <t>CORE IDENTITY</t>
        </is>
      </c>
      <c r="K2" s="7" t="inlineStr">
        <is>
          <t>AUTHENTICATION</t>
        </is>
      </c>
      <c r="T2" s="7" t="inlineStr">
        <is>
          <t>ACCOUNT DETAILS</t>
        </is>
      </c>
      <c r="AE2" s="7" t="inlineStr">
        <is>
          <t>TECHNICAL / API</t>
        </is>
      </c>
      <c r="AQ2" s="7" t="inlineStr">
        <is>
          <t>OWNERSHIP &amp; TRACKING</t>
        </is>
      </c>
    </row>
    <row r="3" ht="30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 ht="17" customHeight="1">
      <c r="A4" s="9" t="inlineStr">
        <is>
          <t>CRED-2024-0001</t>
        </is>
      </c>
      <c r="B4" s="9" t="inlineStr">
        <is>
          <t>GBP</t>
        </is>
      </c>
      <c r="C4" s="9" t="inlineStr">
        <is>
          <t>Gravity Business Partners</t>
        </is>
      </c>
      <c r="D4" s="9" t="inlineStr">
        <is>
          <t>Microsoft 365</t>
        </is>
      </c>
      <c r="E4" s="9" t="inlineStr">
        <is>
          <t>Global Admin</t>
        </is>
      </c>
      <c r="F4" s="9" t="inlineStr">
        <is>
          <t>Microsoft 365 - GBP Tenant</t>
        </is>
      </c>
      <c r="G4" s="9" t="inlineStr">
        <is>
          <t>https://admin.microsoft.com</t>
        </is>
      </c>
      <c r="H4" s="9" t="inlineStr">
        <is>
          <t>Production</t>
        </is>
      </c>
      <c r="I4" s="9" t="inlineStr">
        <is>
          <t>Active</t>
        </is>
      </c>
      <c r="J4" s="9" t="inlineStr">
        <is>
          <t>Critical</t>
        </is>
      </c>
      <c r="K4" s="9" t="inlineStr">
        <is>
          <t>admin@gravity-bp.com</t>
        </is>
      </c>
      <c r="L4" s="9" t="inlineStr">
        <is>
          <t>P@ssw0rd!GBP2024</t>
        </is>
      </c>
      <c r="M4" s="9" t="inlineStr">
        <is>
          <t>info@gravity-bp.com</t>
        </is>
      </c>
      <c r="N4" s="9" t="inlineStr">
        <is>
          <t>+971 XX XXX XXXX</t>
        </is>
      </c>
      <c r="O4" s="9" t="inlineStr">
        <is>
          <t>Yes</t>
        </is>
      </c>
      <c r="P4" s="9" t="inlineStr">
        <is>
          <t>Authenticator App</t>
        </is>
      </c>
      <c r="Q4" s="9" t="inlineStr">
        <is>
          <t>Microsoft Authenticator</t>
        </is>
      </c>
      <c r="R4" s="9" t="inlineStr">
        <is>
          <t>1Password Vault - GBP</t>
        </is>
      </c>
      <c r="S4" s="9" t="inlineStr">
        <is>
          <t>Global admin - break-glass account</t>
        </is>
      </c>
      <c r="T4" s="9" t="inlineStr">
        <is>
          <t>Gravity BP Global Admin</t>
        </is>
      </c>
      <c r="U4" s="9" t="inlineStr">
        <is>
          <t>xxxxxxxx-xxxx-xxxx-xxxx-xxxxxxxxxxxx</t>
        </is>
      </c>
      <c r="V4" s="9" t="inlineStr">
        <is>
          <t>Microsoft 365 Business Premium</t>
        </is>
      </c>
      <c r="W4" s="9" t="inlineStr">
        <is>
          <t>Business Premium</t>
        </is>
      </c>
      <c r="X4" s="10" t="n">
        <v>43831</v>
      </c>
      <c r="Y4" s="10" t="n">
        <v>46022</v>
      </c>
      <c r="Z4" s="9" t="inlineStr">
        <is>
          <t>Yes</t>
        </is>
      </c>
      <c r="AA4" s="11" t="n">
        <v>22</v>
      </c>
      <c r="AB4" s="9" t="inlineStr">
        <is>
          <t>Monthly</t>
        </is>
      </c>
      <c r="AC4" s="9" t="inlineStr">
        <is>
          <t>billing@gravity-bp.com</t>
        </is>
      </c>
      <c r="AD4" s="9" t="inlineStr">
        <is>
          <t>Visa ending 4242</t>
        </is>
      </c>
      <c r="AE4" s="9" t="inlineStr">
        <is>
          <t>Owner</t>
        </is>
      </c>
      <c r="AF4" s="9" t="inlineStr"/>
      <c r="AG4" s="9" t="inlineStr"/>
      <c r="AH4" s="9" t="inlineStr"/>
      <c r="AI4" s="9" t="inlineStr"/>
      <c r="AJ4" s="9" t="inlineStr"/>
      <c r="AK4" s="9" t="inlineStr">
        <is>
          <t>xxxxxxxx-xxxx-xxxx-xxxx-xxxxxxxxxxxx</t>
        </is>
      </c>
      <c r="AL4" s="9" t="inlineStr"/>
      <c r="AM4" s="9" t="inlineStr"/>
      <c r="AN4" s="9" t="inlineStr"/>
      <c r="AO4" s="9" t="inlineStr">
        <is>
          <t>HTTPS</t>
        </is>
      </c>
      <c r="AP4" s="9" t="inlineStr"/>
      <c r="AQ4" s="9" t="inlineStr">
        <is>
          <t>Dev Mukherjee</t>
        </is>
      </c>
      <c r="AR4" s="9" t="inlineStr">
        <is>
          <t>info@gravity-bp.com</t>
        </is>
      </c>
      <c r="AS4" s="9" t="inlineStr">
        <is>
          <t>Dev Mukherjee</t>
        </is>
      </c>
      <c r="AT4" s="10" t="n">
        <v>43831</v>
      </c>
      <c r="AU4" s="9" t="inlineStr">
        <is>
          <t>Dev Mukherjee</t>
        </is>
      </c>
      <c r="AV4" s="10" t="n">
        <v>45444</v>
      </c>
      <c r="AW4" s="10" t="n">
        <v>45627</v>
      </c>
      <c r="AX4" s="10" t="n">
        <v>45444</v>
      </c>
      <c r="AY4" s="10" t="n">
        <v>45809</v>
      </c>
      <c r="AZ4" s="10" t="n">
        <v>45809</v>
      </c>
      <c r="BA4" s="9" t="inlineStr">
        <is>
          <t>M365; Admin; Critical</t>
        </is>
      </c>
      <c r="BB4" s="9" t="inlineStr">
        <is>
          <t>Primary M365 global admin. Store in 1Password.</t>
        </is>
      </c>
      <c r="BC4" s="9" t="inlineStr">
        <is>
          <t>Active</t>
        </is>
      </c>
    </row>
    <row r="5" ht="17" customHeight="1">
      <c r="A5" s="9" t="inlineStr">
        <is>
          <t>CRED-2024-0002</t>
        </is>
      </c>
      <c r="B5" s="9" t="inlineStr">
        <is>
          <t>GBP</t>
        </is>
      </c>
      <c r="C5" s="9" t="inlineStr">
        <is>
          <t>Gravity Business Partners</t>
        </is>
      </c>
      <c r="D5" s="9" t="inlineStr">
        <is>
          <t>Azure</t>
        </is>
      </c>
      <c r="E5" s="9" t="inlineStr">
        <is>
          <t>Subscription Owner</t>
        </is>
      </c>
      <c r="F5" s="9" t="inlineStr">
        <is>
          <t>Azure - GBP Production Subscription</t>
        </is>
      </c>
      <c r="G5" s="9" t="inlineStr">
        <is>
          <t>https://portal.azure.com</t>
        </is>
      </c>
      <c r="H5" s="9" t="inlineStr">
        <is>
          <t>Production</t>
        </is>
      </c>
      <c r="I5" s="9" t="inlineStr">
        <is>
          <t>Active</t>
        </is>
      </c>
      <c r="J5" s="9" t="inlineStr">
        <is>
          <t>Critical</t>
        </is>
      </c>
      <c r="K5" s="9" t="inlineStr">
        <is>
          <t>admin@gravity-bp.com</t>
        </is>
      </c>
      <c r="L5" s="9" t="inlineStr">
        <is>
          <t>(uses M365 SSO)</t>
        </is>
      </c>
      <c r="M5" s="9" t="inlineStr"/>
      <c r="N5" s="9" t="inlineStr"/>
      <c r="O5" s="9" t="inlineStr">
        <is>
          <t>Yes</t>
        </is>
      </c>
      <c r="P5" s="9" t="inlineStr">
        <is>
          <t>Authenticator App</t>
        </is>
      </c>
      <c r="Q5" s="9" t="inlineStr">
        <is>
          <t>Microsoft Authenticator</t>
        </is>
      </c>
      <c r="R5" s="9" t="inlineStr">
        <is>
          <t>1Password Vault - GBP</t>
        </is>
      </c>
      <c r="S5" s="9" t="inlineStr">
        <is>
          <t>SSO via Microsoft 365 account</t>
        </is>
      </c>
      <c r="T5" s="9" t="inlineStr">
        <is>
          <t>GBP Production</t>
        </is>
      </c>
      <c r="U5" s="9" t="inlineStr">
        <is>
          <t>xxxxxxxx-xxxx-xxxx-xxxx-xxxxxxxxxxxx</t>
        </is>
      </c>
      <c r="V5" s="9" t="inlineStr">
        <is>
          <t>Pay-As-You-Go</t>
        </is>
      </c>
      <c r="W5" s="9" t="inlineStr">
        <is>
          <t>Pay-As-You-Go</t>
        </is>
      </c>
      <c r="X5" s="10" t="n">
        <v>43983</v>
      </c>
      <c r="Y5" s="10" t="inlineStr"/>
      <c r="Z5" s="9" t="inlineStr">
        <is>
          <t>Yes</t>
        </is>
      </c>
      <c r="AA5" s="11" t="n">
        <v>0</v>
      </c>
      <c r="AB5" s="9" t="inlineStr">
        <is>
          <t>Monthly</t>
        </is>
      </c>
      <c r="AC5" s="9" t="inlineStr">
        <is>
          <t>billing@gravity-bp.com</t>
        </is>
      </c>
      <c r="AD5" s="9" t="inlineStr">
        <is>
          <t>Visa ending 4242</t>
        </is>
      </c>
      <c r="AE5" s="9" t="inlineStr">
        <is>
          <t>Owner</t>
        </is>
      </c>
      <c r="AF5" s="9" t="inlineStr">
        <is>
          <t>CRED-2024-0001</t>
        </is>
      </c>
      <c r="AG5" s="9" t="inlineStr"/>
      <c r="AH5" s="9" t="inlineStr"/>
      <c r="AI5" s="9" t="inlineStr"/>
      <c r="AJ5" s="9" t="inlineStr"/>
      <c r="AK5" s="9" t="inlineStr">
        <is>
          <t>xxxxxxxx-xxxx-xxxx-xxxx-xxxxxxxxxxxx</t>
        </is>
      </c>
      <c r="AL5" s="9" t="inlineStr">
        <is>
          <t>xxxxxxxx-xxxx-xxxx-xxxx-xxxxxxxxxxxx</t>
        </is>
      </c>
      <c r="AM5" s="9" t="inlineStr">
        <is>
          <t>portal.azure.com</t>
        </is>
      </c>
      <c r="AN5" s="9" t="inlineStr">
        <is>
          <t>443</t>
        </is>
      </c>
      <c r="AO5" s="9" t="inlineStr">
        <is>
          <t>HTTPS</t>
        </is>
      </c>
      <c r="AP5" s="9" t="inlineStr"/>
      <c r="AQ5" s="9" t="inlineStr">
        <is>
          <t>Dev Mukherjee</t>
        </is>
      </c>
      <c r="AR5" s="9" t="inlineStr">
        <is>
          <t>info@gravity-bp.com</t>
        </is>
      </c>
      <c r="AS5" s="9" t="inlineStr">
        <is>
          <t>Dev Mukherjee</t>
        </is>
      </c>
      <c r="AT5" s="10" t="n">
        <v>43983</v>
      </c>
      <c r="AU5" s="9" t="inlineStr">
        <is>
          <t>Dev Mukherjee</t>
        </is>
      </c>
      <c r="AV5" s="10" t="n">
        <v>45444</v>
      </c>
      <c r="AW5" s="10" t="n">
        <v>45627</v>
      </c>
      <c r="AX5" s="10" t="inlineStr"/>
      <c r="AY5" s="10" t="inlineStr"/>
      <c r="AZ5" s="10" t="n">
        <v>45809</v>
      </c>
      <c r="BA5" s="9" t="inlineStr">
        <is>
          <t>Azure; Cloud; Critical</t>
        </is>
      </c>
      <c r="BB5" s="9" t="inlineStr">
        <is>
          <t>Linked to M365 Global Admin (CRED-2024-0001).</t>
        </is>
      </c>
      <c r="BC5" s="9" t="inlineStr">
        <is>
          <t>Active</t>
        </is>
      </c>
    </row>
    <row r="6" ht="17" customHeight="1">
      <c r="A6" s="9" t="inlineStr">
        <is>
          <t>CRED-2024-0003</t>
        </is>
      </c>
      <c r="B6" s="9" t="inlineStr">
        <is>
          <t>GBP</t>
        </is>
      </c>
      <c r="C6" s="9" t="inlineStr">
        <is>
          <t>Gravity Business Partners</t>
        </is>
      </c>
      <c r="D6" s="9" t="inlineStr">
        <is>
          <t>Social Media</t>
        </is>
      </c>
      <c r="E6" s="9" t="inlineStr">
        <is>
          <t>Facebook Page</t>
        </is>
      </c>
      <c r="F6" s="9" t="inlineStr">
        <is>
          <t>Facebook - Gravity Business Partners Page</t>
        </is>
      </c>
      <c r="G6" s="9" t="inlineStr">
        <is>
          <t>https://www.facebook.com/gravitybp</t>
        </is>
      </c>
      <c r="H6" s="9" t="inlineStr">
        <is>
          <t>Production</t>
        </is>
      </c>
      <c r="I6" s="9" t="inlineStr">
        <is>
          <t>Active</t>
        </is>
      </c>
      <c r="J6" s="9" t="inlineStr">
        <is>
          <t>High</t>
        </is>
      </c>
      <c r="K6" s="9" t="inlineStr">
        <is>
          <t>social@gravity-bp.com</t>
        </is>
      </c>
      <c r="L6" s="9" t="inlineStr">
        <is>
          <t>Fb@GBP2024!</t>
        </is>
      </c>
      <c r="M6" s="9" t="inlineStr">
        <is>
          <t>info@gravity-bp.com</t>
        </is>
      </c>
      <c r="N6" s="9" t="inlineStr">
        <is>
          <t>+971 XX XXX XXXX</t>
        </is>
      </c>
      <c r="O6" s="9" t="inlineStr">
        <is>
          <t>Yes</t>
        </is>
      </c>
      <c r="P6" s="9" t="inlineStr">
        <is>
          <t>SMS</t>
        </is>
      </c>
      <c r="Q6" s="9" t="inlineStr"/>
      <c r="R6" s="9" t="inlineStr">
        <is>
          <t>Recovery codes in 1Password</t>
        </is>
      </c>
      <c r="S6" s="9" t="inlineStr"/>
      <c r="T6" s="9" t="inlineStr">
        <is>
          <t>Gravity Business Partners</t>
        </is>
      </c>
      <c r="U6" s="9" t="inlineStr">
        <is>
          <t>xxxxxxxxxxxxxxxxxx</t>
        </is>
      </c>
      <c r="V6" s="9" t="inlineStr"/>
      <c r="W6" s="9" t="inlineStr">
        <is>
          <t>Business Suite</t>
        </is>
      </c>
      <c r="X6" s="10" t="inlineStr"/>
      <c r="Y6" s="10" t="inlineStr"/>
      <c r="Z6" s="9" t="inlineStr">
        <is>
          <t>No</t>
        </is>
      </c>
      <c r="AA6" s="11" t="n">
        <v>0</v>
      </c>
      <c r="AB6" s="9" t="inlineStr">
        <is>
          <t>Free</t>
        </is>
      </c>
      <c r="AC6" s="9" t="inlineStr"/>
      <c r="AD6" s="9" t="inlineStr"/>
      <c r="AE6" s="9" t="inlineStr">
        <is>
          <t>Admin</t>
        </is>
      </c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>
        <is>
          <t>HTTPS</t>
        </is>
      </c>
      <c r="AP6" s="9" t="inlineStr"/>
      <c r="AQ6" s="9" t="inlineStr">
        <is>
          <t>Dev Mukherjee</t>
        </is>
      </c>
      <c r="AR6" s="9" t="inlineStr">
        <is>
          <t>info@gravity-bp.com</t>
        </is>
      </c>
      <c r="AS6" s="9" t="inlineStr">
        <is>
          <t>Dev Mukherjee</t>
        </is>
      </c>
      <c r="AT6" s="10" t="n">
        <v>44270</v>
      </c>
      <c r="AU6" s="9" t="inlineStr">
        <is>
          <t>Dev Mukherjee</t>
        </is>
      </c>
      <c r="AV6" s="10" t="n">
        <v>45413</v>
      </c>
      <c r="AW6" s="10" t="n">
        <v>45597</v>
      </c>
      <c r="AX6" s="10" t="n">
        <v>45413</v>
      </c>
      <c r="AY6" s="10" t="inlineStr"/>
      <c r="AZ6" s="10" t="n">
        <v>45778</v>
      </c>
      <c r="BA6" s="9" t="inlineStr">
        <is>
          <t>Social; Facebook; Marketing</t>
        </is>
      </c>
      <c r="BB6" s="9" t="inlineStr">
        <is>
          <t>Business Manager also linked. Ads account separate.</t>
        </is>
      </c>
      <c r="BC6" s="9" t="inlineStr">
        <is>
          <t>Active</t>
        </is>
      </c>
    </row>
    <row r="7" ht="17" customHeight="1">
      <c r="A7" s="9" t="inlineStr">
        <is>
          <t>CRED-2024-0004</t>
        </is>
      </c>
      <c r="B7" s="9" t="inlineStr">
        <is>
          <t>TAS</t>
        </is>
      </c>
      <c r="C7" s="9" t="inlineStr">
        <is>
          <t>TechAlpha Solutions</t>
        </is>
      </c>
      <c r="D7" s="9" t="inlineStr">
        <is>
          <t>Domain &amp; DNS</t>
        </is>
      </c>
      <c r="E7" s="9" t="inlineStr">
        <is>
          <t>Domain Registrar</t>
        </is>
      </c>
      <c r="F7" s="9" t="inlineStr">
        <is>
          <t>Namecheap - techalpha.ae</t>
        </is>
      </c>
      <c r="G7" s="9" t="inlineStr">
        <is>
          <t>https://www.namecheap.com</t>
        </is>
      </c>
      <c r="H7" s="9" t="inlineStr">
        <is>
          <t>Production</t>
        </is>
      </c>
      <c r="I7" s="9" t="inlineStr">
        <is>
          <t>Active</t>
        </is>
      </c>
      <c r="J7" s="9" t="inlineStr">
        <is>
          <t>Critical</t>
        </is>
      </c>
      <c r="K7" s="9" t="inlineStr">
        <is>
          <t>admin@techalpha.ae</t>
        </is>
      </c>
      <c r="L7" s="9" t="inlineStr">
        <is>
          <t>NC!T@s2024Secure</t>
        </is>
      </c>
      <c r="M7" s="9" t="inlineStr">
        <is>
          <t>it@techalpha.ae</t>
        </is>
      </c>
      <c r="N7" s="9" t="inlineStr">
        <is>
          <t>+971 50 XXX XXXX</t>
        </is>
      </c>
      <c r="O7" s="9" t="inlineStr">
        <is>
          <t>Yes</t>
        </is>
      </c>
      <c r="P7" s="9" t="inlineStr">
        <is>
          <t>Authenticator App</t>
        </is>
      </c>
      <c r="Q7" s="9" t="inlineStr">
        <is>
          <t>Google Authenticator</t>
        </is>
      </c>
      <c r="R7" s="9" t="inlineStr">
        <is>
          <t>Printed backup in client file</t>
        </is>
      </c>
      <c r="S7" s="9" t="inlineStr"/>
      <c r="T7" s="9" t="inlineStr">
        <is>
          <t>TechAlpha Domains</t>
        </is>
      </c>
      <c r="U7" s="9" t="inlineStr"/>
      <c r="V7" s="9" t="inlineStr"/>
      <c r="W7" s="9" t="inlineStr"/>
      <c r="X7" s="10" t="n">
        <v>45000</v>
      </c>
      <c r="Y7" s="10" t="n">
        <v>46095</v>
      </c>
      <c r="Z7" s="9" t="inlineStr">
        <is>
          <t>Yes</t>
        </is>
      </c>
      <c r="AA7" s="11" t="n">
        <v>12.98</v>
      </c>
      <c r="AB7" s="9" t="inlineStr">
        <is>
          <t>Annual</t>
        </is>
      </c>
      <c r="AC7" s="9" t="inlineStr">
        <is>
          <t>billing@techalpha.ae</t>
        </is>
      </c>
      <c r="AD7" s="9" t="inlineStr">
        <is>
          <t>Card ending 1234</t>
        </is>
      </c>
      <c r="AE7" s="9" t="inlineStr">
        <is>
          <t>Admin</t>
        </is>
      </c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>
        <is>
          <t>HTTPS</t>
        </is>
      </c>
      <c r="AP7" s="9" t="inlineStr"/>
      <c r="AQ7" s="9" t="inlineStr">
        <is>
          <t>Dev Mukherjee</t>
        </is>
      </c>
      <c r="AR7" s="9" t="inlineStr">
        <is>
          <t>info@gravity-bp.com</t>
        </is>
      </c>
      <c r="AS7" s="9" t="inlineStr">
        <is>
          <t>Dev Mukherjee</t>
        </is>
      </c>
      <c r="AT7" s="10" t="n">
        <v>45000</v>
      </c>
      <c r="AU7" s="9" t="inlineStr">
        <is>
          <t>Dev Mukherjee</t>
        </is>
      </c>
      <c r="AV7" s="10" t="n">
        <v>45366</v>
      </c>
      <c r="AW7" s="10" t="n">
        <v>45550</v>
      </c>
      <c r="AX7" s="10" t="n">
        <v>45366</v>
      </c>
      <c r="AY7" s="10" t="inlineStr"/>
      <c r="AZ7" s="10" t="n">
        <v>45731</v>
      </c>
      <c r="BA7" s="9" t="inlineStr">
        <is>
          <t>Domain; DNS; Critical; TAS</t>
        </is>
      </c>
      <c r="BB7" s="9" t="inlineStr">
        <is>
          <t>Domain renewal due 2026-03-14. Auto-renewal ON.</t>
        </is>
      </c>
      <c r="BC7" s="9" t="inlineStr">
        <is>
          <t>Active</t>
        </is>
      </c>
    </row>
    <row r="8" ht="17" customHeight="1">
      <c r="A8" s="9" t="inlineStr">
        <is>
          <t>CRED-2024-0005</t>
        </is>
      </c>
      <c r="B8" s="9" t="inlineStr">
        <is>
          <t>TAS</t>
        </is>
      </c>
      <c r="C8" s="9" t="inlineStr">
        <is>
          <t>TechAlpha Solutions</t>
        </is>
      </c>
      <c r="D8" s="9" t="inlineStr">
        <is>
          <t>Web Hosting</t>
        </is>
      </c>
      <c r="E8" s="9" t="inlineStr">
        <is>
          <t>cPanel</t>
        </is>
      </c>
      <c r="F8" s="9" t="inlineStr">
        <is>
          <t>SiteGround cPanel - techalpha.ae</t>
        </is>
      </c>
      <c r="G8" s="9" t="inlineStr">
        <is>
          <t>https://my.siteground.com</t>
        </is>
      </c>
      <c r="H8" s="9" t="inlineStr">
        <is>
          <t>Production</t>
        </is>
      </c>
      <c r="I8" s="9" t="inlineStr">
        <is>
          <t>Active</t>
        </is>
      </c>
      <c r="J8" s="9" t="inlineStr">
        <is>
          <t>High</t>
        </is>
      </c>
      <c r="K8" s="9" t="inlineStr">
        <is>
          <t>admin@techalpha.ae</t>
        </is>
      </c>
      <c r="L8" s="9" t="inlineStr">
        <is>
          <t>SG!cP@nel2024</t>
        </is>
      </c>
      <c r="M8" s="9" t="inlineStr">
        <is>
          <t>it@techalpha.ae</t>
        </is>
      </c>
      <c r="N8" s="9" t="inlineStr"/>
      <c r="O8" s="9" t="inlineStr">
        <is>
          <t>Yes</t>
        </is>
      </c>
      <c r="P8" s="9" t="inlineStr">
        <is>
          <t>Authenticator App</t>
        </is>
      </c>
      <c r="Q8" s="9" t="inlineStr">
        <is>
          <t>Google Authenticator</t>
        </is>
      </c>
      <c r="R8" s="9" t="inlineStr">
        <is>
          <t>1Password - TAS</t>
        </is>
      </c>
      <c r="S8" s="9" t="inlineStr"/>
      <c r="T8" s="9" t="inlineStr">
        <is>
          <t>TechAlpha SiteGround</t>
        </is>
      </c>
      <c r="U8" s="9" t="inlineStr"/>
      <c r="V8" s="9" t="inlineStr">
        <is>
          <t>GrowBig Plan</t>
        </is>
      </c>
      <c r="W8" s="9" t="inlineStr">
        <is>
          <t>GrowBig</t>
        </is>
      </c>
      <c r="X8" s="10" t="n">
        <v>45000</v>
      </c>
      <c r="Y8" s="10" t="n">
        <v>45730</v>
      </c>
      <c r="Z8" s="9" t="inlineStr">
        <is>
          <t>Yes</t>
        </is>
      </c>
      <c r="AA8" s="11" t="n">
        <v>22.99</v>
      </c>
      <c r="AB8" s="9" t="inlineStr">
        <is>
          <t>Annual</t>
        </is>
      </c>
      <c r="AC8" s="9" t="inlineStr">
        <is>
          <t>billing@techalpha.ae</t>
        </is>
      </c>
      <c r="AD8" s="9" t="inlineStr">
        <is>
          <t>Card ending 1234</t>
        </is>
      </c>
      <c r="AE8" s="9" t="inlineStr">
        <is>
          <t>Admin</t>
        </is>
      </c>
      <c r="AF8" s="9" t="inlineStr">
        <is>
          <t>CRED-2024-0004</t>
        </is>
      </c>
      <c r="AG8" s="9" t="inlineStr"/>
      <c r="AH8" s="9" t="inlineStr"/>
      <c r="AI8" s="9" t="inlineStr"/>
      <c r="AJ8" s="9" t="inlineStr"/>
      <c r="AK8" s="9" t="inlineStr"/>
      <c r="AL8" s="9" t="inlineStr"/>
      <c r="AM8" s="9" t="inlineStr">
        <is>
          <t>sg-srv12.siteground.com</t>
        </is>
      </c>
      <c r="AN8" s="9" t="inlineStr">
        <is>
          <t>443</t>
        </is>
      </c>
      <c r="AO8" s="9" t="inlineStr">
        <is>
          <t>HTTPS</t>
        </is>
      </c>
      <c r="AP8" s="9" t="inlineStr"/>
      <c r="AQ8" s="9" t="inlineStr">
        <is>
          <t>Dev Mukherjee</t>
        </is>
      </c>
      <c r="AR8" s="9" t="inlineStr">
        <is>
          <t>info@gravity-bp.com</t>
        </is>
      </c>
      <c r="AS8" s="9" t="inlineStr">
        <is>
          <t>Dev Mukherjee</t>
        </is>
      </c>
      <c r="AT8" s="10" t="n">
        <v>45000</v>
      </c>
      <c r="AU8" s="9" t="inlineStr">
        <is>
          <t>Dev Mukherjee</t>
        </is>
      </c>
      <c r="AV8" s="10" t="n">
        <v>45366</v>
      </c>
      <c r="AW8" s="10" t="n">
        <v>45550</v>
      </c>
      <c r="AX8" s="10" t="n">
        <v>45366</v>
      </c>
      <c r="AY8" s="10" t="n">
        <v>45730</v>
      </c>
      <c r="AZ8" s="10" t="n">
        <v>45717</v>
      </c>
      <c r="BA8" s="9" t="inlineStr">
        <is>
          <t>Hosting; cPanel; TAS</t>
        </is>
      </c>
      <c r="BB8" s="9" t="inlineStr">
        <is>
          <t>Hosting expires 2025-03-14 - review 3 months before.</t>
        </is>
      </c>
      <c r="BC8" s="9" t="inlineStr">
        <is>
          <t>Active</t>
        </is>
      </c>
    </row>
    <row r="9" ht="17" customHeight="1">
      <c r="A9" s="9" t="inlineStr">
        <is>
          <t>CRED-2024-0006</t>
        </is>
      </c>
      <c r="B9" s="9" t="inlineStr">
        <is>
          <t>TAS</t>
        </is>
      </c>
      <c r="C9" s="9" t="inlineStr">
        <is>
          <t>TechAlpha Solutions</t>
        </is>
      </c>
      <c r="D9" s="9" t="inlineStr">
        <is>
          <t>FTP / File Transfer</t>
        </is>
      </c>
      <c r="E9" s="9" t="inlineStr">
        <is>
          <t>SFTP</t>
        </is>
      </c>
      <c r="F9" s="9" t="inlineStr">
        <is>
          <t>SFTP - techalpha.ae Production Server</t>
        </is>
      </c>
      <c r="G9" s="9" t="inlineStr"/>
      <c r="H9" s="9" t="inlineStr">
        <is>
          <t>Production</t>
        </is>
      </c>
      <c r="I9" s="9" t="inlineStr">
        <is>
          <t>Active</t>
        </is>
      </c>
      <c r="J9" s="9" t="inlineStr">
        <is>
          <t>High</t>
        </is>
      </c>
      <c r="K9" s="9" t="inlineStr">
        <is>
          <t>sftp_tas</t>
        </is>
      </c>
      <c r="L9" s="9" t="inlineStr">
        <is>
          <t>SFTP!TAS2024@#</t>
        </is>
      </c>
      <c r="M9" s="9" t="inlineStr"/>
      <c r="N9" s="9" t="inlineStr"/>
      <c r="O9" s="9" t="inlineStr">
        <is>
          <t>No</t>
        </is>
      </c>
      <c r="P9" s="9" t="inlineStr">
        <is>
          <t>None</t>
        </is>
      </c>
      <c r="Q9" s="9" t="inlineStr"/>
      <c r="R9" s="9" t="inlineStr"/>
      <c r="S9" s="9" t="inlineStr">
        <is>
          <t>Key-based auth also available - key stored in 1Password</t>
        </is>
      </c>
      <c r="T9" s="9" t="inlineStr"/>
      <c r="U9" s="9" t="inlineStr"/>
      <c r="V9" s="9" t="inlineStr"/>
      <c r="W9" s="9" t="inlineStr"/>
      <c r="X9" s="10" t="inlineStr"/>
      <c r="Y9" s="10" t="inlineStr"/>
      <c r="Z9" s="9" t="inlineStr"/>
      <c r="AA9" s="11" t="n">
        <v>0</v>
      </c>
      <c r="AB9" s="9" t="inlineStr"/>
      <c r="AC9" s="9" t="inlineStr"/>
      <c r="AD9" s="9" t="inlineStr"/>
      <c r="AE9" s="9" t="inlineStr">
        <is>
          <t>Admin</t>
        </is>
      </c>
      <c r="AF9" s="9" t="inlineStr">
        <is>
          <t>CRED-2024-0005</t>
        </is>
      </c>
      <c r="AG9" s="9" t="inlineStr"/>
      <c r="AH9" s="9" t="inlineStr"/>
      <c r="AI9" s="9" t="inlineStr"/>
      <c r="AJ9" s="9" t="inlineStr"/>
      <c r="AK9" s="9" t="inlineStr"/>
      <c r="AL9" s="9" t="inlineStr"/>
      <c r="AM9" s="9" t="inlineStr">
        <is>
          <t>sg-srv12.siteground.com</t>
        </is>
      </c>
      <c r="AN9" s="9" t="inlineStr">
        <is>
          <t>22</t>
        </is>
      </c>
      <c r="AO9" s="9" t="inlineStr">
        <is>
          <t>SFTP</t>
        </is>
      </c>
      <c r="AP9" s="9" t="inlineStr">
        <is>
          <t>public_html</t>
        </is>
      </c>
      <c r="AQ9" s="9" t="inlineStr">
        <is>
          <t>Dev Mukherjee</t>
        </is>
      </c>
      <c r="AR9" s="9" t="inlineStr">
        <is>
          <t>info@gravity-bp.com</t>
        </is>
      </c>
      <c r="AS9" s="9" t="inlineStr">
        <is>
          <t>Dev Mukherjee</t>
        </is>
      </c>
      <c r="AT9" s="10" t="n">
        <v>45000</v>
      </c>
      <c r="AU9" s="9" t="inlineStr">
        <is>
          <t>Dev Mukherjee</t>
        </is>
      </c>
      <c r="AV9" s="10" t="n">
        <v>45444</v>
      </c>
      <c r="AW9" s="10" t="n">
        <v>45627</v>
      </c>
      <c r="AX9" s="10" t="n">
        <v>45444</v>
      </c>
      <c r="AY9" s="10" t="inlineStr"/>
      <c r="AZ9" s="10" t="n">
        <v>45809</v>
      </c>
      <c r="BA9" s="9" t="inlineStr">
        <is>
          <t>FTP; SFTP; Server; TAS</t>
        </is>
      </c>
      <c r="BB9" s="9" t="inlineStr">
        <is>
          <t>Linked to cPanel (CRED-2024-0005).</t>
        </is>
      </c>
      <c r="BC9" s="9" t="inlineStr">
        <is>
          <t>Active</t>
        </is>
      </c>
    </row>
    <row r="10" ht="17" customHeight="1">
      <c r="A10" s="9" t="inlineStr">
        <is>
          <t>CRED-2024-0007</t>
        </is>
      </c>
      <c r="B10" s="9" t="inlineStr">
        <is>
          <t>BKR</t>
        </is>
      </c>
      <c r="C10" s="9" t="inlineStr">
        <is>
          <t>Bakery King LLC</t>
        </is>
      </c>
      <c r="D10" s="9" t="inlineStr">
        <is>
          <t>Email System</t>
        </is>
      </c>
      <c r="E10" s="9" t="inlineStr">
        <is>
          <t>Gmail Workspace</t>
        </is>
      </c>
      <c r="F10" s="9" t="inlineStr">
        <is>
          <t>Google Workspace - bakeryking.com</t>
        </is>
      </c>
      <c r="G10" s="9" t="inlineStr">
        <is>
          <t>https://admin.google.com</t>
        </is>
      </c>
      <c r="H10" s="9" t="inlineStr">
        <is>
          <t>Production</t>
        </is>
      </c>
      <c r="I10" s="9" t="inlineStr">
        <is>
          <t>Active</t>
        </is>
      </c>
      <c r="J10" s="9" t="inlineStr">
        <is>
          <t>Critical</t>
        </is>
      </c>
      <c r="K10" s="9" t="inlineStr">
        <is>
          <t>admin@bakeryking.com</t>
        </is>
      </c>
      <c r="L10" s="9" t="inlineStr">
        <is>
          <t>BK@GW2024Admin!</t>
        </is>
      </c>
      <c r="M10" s="9" t="inlineStr">
        <is>
          <t>sara@bakeryking.com</t>
        </is>
      </c>
      <c r="N10" s="9" t="inlineStr">
        <is>
          <t>+971 55 XXX XXXX</t>
        </is>
      </c>
      <c r="O10" s="9" t="inlineStr">
        <is>
          <t>Yes</t>
        </is>
      </c>
      <c r="P10" s="9" t="inlineStr">
        <is>
          <t>Authenticator App</t>
        </is>
      </c>
      <c r="Q10" s="9" t="inlineStr">
        <is>
          <t>Google Authenticator</t>
        </is>
      </c>
      <c r="R10" s="9" t="inlineStr">
        <is>
          <t>Stored with client</t>
        </is>
      </c>
      <c r="S10" s="9" t="inlineStr"/>
      <c r="T10" s="9" t="inlineStr">
        <is>
          <t>Bakery King Workspace Admin</t>
        </is>
      </c>
      <c r="U10" s="9" t="inlineStr"/>
      <c r="V10" s="9" t="inlineStr">
        <is>
          <t>Google Workspace Business Starter</t>
        </is>
      </c>
      <c r="W10" s="9" t="inlineStr">
        <is>
          <t>Business Starter</t>
        </is>
      </c>
      <c r="X10" s="10" t="n">
        <v>44743</v>
      </c>
      <c r="Y10" s="10" t="n">
        <v>45838</v>
      </c>
      <c r="Z10" s="9" t="inlineStr">
        <is>
          <t>Yes</t>
        </is>
      </c>
      <c r="AA10" s="11" t="n">
        <v>6</v>
      </c>
      <c r="AB10" s="9" t="inlineStr">
        <is>
          <t>Monthly</t>
        </is>
      </c>
      <c r="AC10" s="9" t="inlineStr">
        <is>
          <t>accounts@bakeryking.com</t>
        </is>
      </c>
      <c r="AD10" s="9" t="inlineStr">
        <is>
          <t>Card ending 5678</t>
        </is>
      </c>
      <c r="AE10" s="9" t="inlineStr">
        <is>
          <t>Admin</t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>
        <is>
          <t>HTTPS</t>
        </is>
      </c>
      <c r="AP10" s="9" t="inlineStr"/>
      <c r="AQ10" s="9" t="inlineStr">
        <is>
          <t>Dev Mukherjee</t>
        </is>
      </c>
      <c r="AR10" s="9" t="inlineStr">
        <is>
          <t>info@gravity-bp.com</t>
        </is>
      </c>
      <c r="AS10" s="9" t="inlineStr">
        <is>
          <t>Dev Mukherjee</t>
        </is>
      </c>
      <c r="AT10" s="10" t="n">
        <v>44743</v>
      </c>
      <c r="AU10" s="9" t="inlineStr">
        <is>
          <t>Dev Mukherjee</t>
        </is>
      </c>
      <c r="AV10" s="10" t="n">
        <v>45474</v>
      </c>
      <c r="AW10" s="10" t="n">
        <v>45627</v>
      </c>
      <c r="AX10" s="10" t="n">
        <v>45474</v>
      </c>
      <c r="AY10" s="10" t="inlineStr"/>
      <c r="AZ10" s="10" t="n">
        <v>45839</v>
      </c>
      <c r="BA10" s="9" t="inlineStr">
        <is>
          <t>Email; Google; Admin; BKR</t>
        </is>
      </c>
      <c r="BB10" s="9" t="inlineStr">
        <is>
          <t>10 user licences. Billing via client card.</t>
        </is>
      </c>
      <c r="BC10" s="9" t="inlineStr">
        <is>
          <t>Active</t>
        </is>
      </c>
    </row>
    <row r="11" ht="17" customHeight="1">
      <c r="A11" s="9" t="inlineStr">
        <is>
          <t>CRED-2024-0008</t>
        </is>
      </c>
      <c r="B11" s="9" t="inlineStr">
        <is>
          <t>BKR</t>
        </is>
      </c>
      <c r="C11" s="9" t="inlineStr">
        <is>
          <t>Bakery King LLC</t>
        </is>
      </c>
      <c r="D11" s="9" t="inlineStr">
        <is>
          <t>Social Media</t>
        </is>
      </c>
      <c r="E11" s="9" t="inlineStr">
        <is>
          <t>Instagram Business</t>
        </is>
      </c>
      <c r="F11" s="9" t="inlineStr">
        <is>
          <t>Instagram - @bakerykinguae</t>
        </is>
      </c>
      <c r="G11" s="9" t="inlineStr">
        <is>
          <t>https://www.instagram.com/bakerykinguae</t>
        </is>
      </c>
      <c r="H11" s="9" t="inlineStr">
        <is>
          <t>Production</t>
        </is>
      </c>
      <c r="I11" s="9" t="inlineStr">
        <is>
          <t>Active</t>
        </is>
      </c>
      <c r="J11" s="9" t="inlineStr">
        <is>
          <t>High</t>
        </is>
      </c>
      <c r="K11" s="9" t="inlineStr">
        <is>
          <t>social@bakeryking.com</t>
        </is>
      </c>
      <c r="L11" s="9" t="inlineStr">
        <is>
          <t>IG!BKR2024#</t>
        </is>
      </c>
      <c r="M11" s="9" t="inlineStr">
        <is>
          <t>sara@bakeryking.com</t>
        </is>
      </c>
      <c r="N11" s="9" t="inlineStr">
        <is>
          <t>+971 55 XXX XXXX</t>
        </is>
      </c>
      <c r="O11" s="9" t="inlineStr">
        <is>
          <t>Yes</t>
        </is>
      </c>
      <c r="P11" s="9" t="inlineStr">
        <is>
          <t>Authenticator App</t>
        </is>
      </c>
      <c r="Q11" s="9" t="inlineStr">
        <is>
          <t>Google Authenticator</t>
        </is>
      </c>
      <c r="R11" s="9" t="inlineStr">
        <is>
          <t>With client</t>
        </is>
      </c>
      <c r="S11" s="9" t="inlineStr"/>
      <c r="T11" s="9" t="inlineStr">
        <is>
          <t>Bakery King UAE</t>
        </is>
      </c>
      <c r="U11" s="9" t="inlineStr">
        <is>
          <t>xxxxxxxxxxxxxxxxxxx</t>
        </is>
      </c>
      <c r="V11" s="9" t="inlineStr"/>
      <c r="W11" s="9" t="inlineStr">
        <is>
          <t>Business</t>
        </is>
      </c>
      <c r="X11" s="10" t="inlineStr"/>
      <c r="Y11" s="10" t="inlineStr"/>
      <c r="Z11" s="9" t="inlineStr">
        <is>
          <t>No</t>
        </is>
      </c>
      <c r="AA11" s="11" t="n">
        <v>0</v>
      </c>
      <c r="AB11" s="9" t="inlineStr">
        <is>
          <t>Free</t>
        </is>
      </c>
      <c r="AC11" s="9" t="inlineStr"/>
      <c r="AD11" s="9" t="inlineStr"/>
      <c r="AE11" s="9" t="inlineStr">
        <is>
          <t>Admin</t>
        </is>
      </c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>
        <is>
          <t>HTTPS</t>
        </is>
      </c>
      <c r="AP11" s="9" t="inlineStr"/>
      <c r="AQ11" s="9" t="inlineStr">
        <is>
          <t>Dev Mukherjee</t>
        </is>
      </c>
      <c r="AR11" s="9" t="inlineStr">
        <is>
          <t>info@gravity-bp.com</t>
        </is>
      </c>
      <c r="AS11" s="9" t="inlineStr">
        <is>
          <t>Dev Mukherjee</t>
        </is>
      </c>
      <c r="AT11" s="10" t="n">
        <v>44774</v>
      </c>
      <c r="AU11" s="9" t="inlineStr">
        <is>
          <t>Dev Mukherjee</t>
        </is>
      </c>
      <c r="AV11" s="10" t="n">
        <v>45413</v>
      </c>
      <c r="AW11" s="10" t="n">
        <v>45597</v>
      </c>
      <c r="AX11" s="10" t="n">
        <v>45413</v>
      </c>
      <c r="AY11" s="10" t="inlineStr"/>
      <c r="AZ11" s="10" t="n">
        <v>45778</v>
      </c>
      <c r="BA11" s="9" t="inlineStr">
        <is>
          <t>Social; Instagram; BKR</t>
        </is>
      </c>
      <c r="BB11" s="9" t="inlineStr">
        <is>
          <t>Linked to Facebook Business Manager.</t>
        </is>
      </c>
      <c r="BC11" s="9" t="inlineStr">
        <is>
          <t>Active</t>
        </is>
      </c>
    </row>
    <row r="12" ht="17" customHeight="1">
      <c r="A12" s="9" t="inlineStr">
        <is>
          <t>CRED-2024-0009</t>
        </is>
      </c>
      <c r="B12" s="9" t="inlineStr">
        <is>
          <t>MED</t>
        </is>
      </c>
      <c r="C12" s="9" t="inlineStr">
        <is>
          <t>MediCare Clinics Group</t>
        </is>
      </c>
      <c r="D12" s="9" t="inlineStr">
        <is>
          <t>Microsoft 365</t>
        </is>
      </c>
      <c r="E12" s="9" t="inlineStr">
        <is>
          <t>Global Admin</t>
        </is>
      </c>
      <c r="F12" s="9" t="inlineStr">
        <is>
          <t>Microsoft 365 - MediCare Tenant</t>
        </is>
      </c>
      <c r="G12" s="9" t="inlineStr">
        <is>
          <t>https://admin.microsoft.com</t>
        </is>
      </c>
      <c r="H12" s="9" t="inlineStr">
        <is>
          <t>Production</t>
        </is>
      </c>
      <c r="I12" s="9" t="inlineStr">
        <is>
          <t>Active</t>
        </is>
      </c>
      <c r="J12" s="9" t="inlineStr">
        <is>
          <t>Critical</t>
        </is>
      </c>
      <c r="K12" s="9" t="inlineStr">
        <is>
          <t>itsupport@medicareclinics.ae</t>
        </is>
      </c>
      <c r="L12" s="9" t="inlineStr">
        <is>
          <t>MC!M365Adm2024</t>
        </is>
      </c>
      <c r="M12" s="9" t="inlineStr">
        <is>
          <t>admin@medicareclinics.ae</t>
        </is>
      </c>
      <c r="N12" s="9" t="inlineStr">
        <is>
          <t>+971 4 XXX XXXX</t>
        </is>
      </c>
      <c r="O12" s="9" t="inlineStr">
        <is>
          <t>Yes</t>
        </is>
      </c>
      <c r="P12" s="9" t="inlineStr">
        <is>
          <t>Authenticator App</t>
        </is>
      </c>
      <c r="Q12" s="9" t="inlineStr">
        <is>
          <t>Microsoft Authenticator</t>
        </is>
      </c>
      <c r="R12" s="9" t="inlineStr">
        <is>
          <t>1Password - MED</t>
        </is>
      </c>
      <c r="S12" s="9" t="inlineStr">
        <is>
          <t>HIPAA-sensitive - restrict access to senior staff only</t>
        </is>
      </c>
      <c r="T12" s="9" t="inlineStr">
        <is>
          <t>MediCare Global Admin</t>
        </is>
      </c>
      <c r="U12" s="9" t="inlineStr">
        <is>
          <t>xxxxxxxx-xxxx-xxxx-xxxx-xxxxxxxxxxxx</t>
        </is>
      </c>
      <c r="V12" s="9" t="inlineStr">
        <is>
          <t>Microsoft 365 Business Premium</t>
        </is>
      </c>
      <c r="W12" s="9" t="inlineStr">
        <is>
          <t>Business Premium</t>
        </is>
      </c>
      <c r="X12" s="10" t="n">
        <v>45306</v>
      </c>
      <c r="Y12" s="10" t="n">
        <v>46036</v>
      </c>
      <c r="Z12" s="9" t="inlineStr">
        <is>
          <t>Yes</t>
        </is>
      </c>
      <c r="AA12" s="11" t="n">
        <v>22</v>
      </c>
      <c r="AB12" s="9" t="inlineStr">
        <is>
          <t>Monthly</t>
        </is>
      </c>
      <c r="AC12" s="9" t="inlineStr">
        <is>
          <t>it@medicareclinics.ae</t>
        </is>
      </c>
      <c r="AD12" s="9" t="inlineStr">
        <is>
          <t>Card ending 9012</t>
        </is>
      </c>
      <c r="AE12" s="9" t="inlineStr">
        <is>
          <t>Owner</t>
        </is>
      </c>
      <c r="AF12" s="9" t="inlineStr"/>
      <c r="AG12" s="9" t="inlineStr"/>
      <c r="AH12" s="9" t="inlineStr"/>
      <c r="AI12" s="9" t="inlineStr"/>
      <c r="AJ12" s="9" t="inlineStr"/>
      <c r="AK12" s="9" t="inlineStr">
        <is>
          <t>xxxxxxxx-xxxx-xxxx-xxxx-xxxxxxxxxxxx</t>
        </is>
      </c>
      <c r="AL12" s="9" t="inlineStr"/>
      <c r="AM12" s="9" t="inlineStr"/>
      <c r="AN12" s="9" t="inlineStr"/>
      <c r="AO12" s="9" t="inlineStr">
        <is>
          <t>HTTPS</t>
        </is>
      </c>
      <c r="AP12" s="9" t="inlineStr"/>
      <c r="AQ12" s="9" t="inlineStr">
        <is>
          <t>Dev Mukherjee</t>
        </is>
      </c>
      <c r="AR12" s="9" t="inlineStr">
        <is>
          <t>info@gravity-bp.com</t>
        </is>
      </c>
      <c r="AS12" s="9" t="inlineStr">
        <is>
          <t>Dev Mukherjee</t>
        </is>
      </c>
      <c r="AT12" s="10" t="n">
        <v>45306</v>
      </c>
      <c r="AU12" s="9" t="inlineStr">
        <is>
          <t>Dev Mukherjee</t>
        </is>
      </c>
      <c r="AV12" s="10" t="n">
        <v>45444</v>
      </c>
      <c r="AW12" s="10" t="n">
        <v>45627</v>
      </c>
      <c r="AX12" s="10" t="n">
        <v>45444</v>
      </c>
      <c r="AY12" s="10" t="n">
        <v>45809</v>
      </c>
      <c r="AZ12" s="10" t="n">
        <v>45809</v>
      </c>
      <c r="BA12" s="9" t="inlineStr">
        <is>
          <t>M365; Admin; Critical; Healthcare</t>
        </is>
      </c>
      <c r="BB12" s="9" t="inlineStr">
        <is>
          <t>HIPAA environment - log all access. Break-glass only.</t>
        </is>
      </c>
      <c r="BC12" s="9" t="inlineStr">
        <is>
          <t>Active</t>
        </is>
      </c>
    </row>
    <row r="13" ht="17" customHeight="1">
      <c r="A13" s="9" t="inlineStr">
        <is>
          <t>CRED-2024-0010</t>
        </is>
      </c>
      <c r="B13" s="9" t="inlineStr">
        <is>
          <t>REA</t>
        </is>
      </c>
      <c r="C13" s="9" t="inlineStr">
        <is>
          <t>RealEstate Pro PJSC</t>
        </is>
      </c>
      <c r="D13" s="9" t="inlineStr">
        <is>
          <t>Marketing Tools</t>
        </is>
      </c>
      <c r="E13" s="9" t="inlineStr">
        <is>
          <t>Mailchimp</t>
        </is>
      </c>
      <c r="F13" s="9" t="inlineStr">
        <is>
          <t>Mailchimp - RealEstate Pro Newsletter</t>
        </is>
      </c>
      <c r="G13" s="9" t="inlineStr">
        <is>
          <t>https://mailchimp.com</t>
        </is>
      </c>
      <c r="H13" s="9" t="inlineStr">
        <is>
          <t>Production</t>
        </is>
      </c>
      <c r="I13" s="9" t="inlineStr">
        <is>
          <t>Active</t>
        </is>
      </c>
      <c r="J13" s="9" t="inlineStr">
        <is>
          <t>Medium</t>
        </is>
      </c>
      <c r="K13" s="9" t="inlineStr">
        <is>
          <t>marketing@realestatepro.ae</t>
        </is>
      </c>
      <c r="L13" s="9" t="inlineStr">
        <is>
          <t>MC!REA2024Mkt</t>
        </is>
      </c>
      <c r="M13" s="9" t="inlineStr">
        <is>
          <t>khalid@realestatepro.ae</t>
        </is>
      </c>
      <c r="N13" s="9" t="inlineStr"/>
      <c r="O13" s="9" t="inlineStr">
        <is>
          <t>Yes</t>
        </is>
      </c>
      <c r="P13" s="9" t="inlineStr">
        <is>
          <t>Email</t>
        </is>
      </c>
      <c r="Q13" s="9" t="inlineStr"/>
      <c r="R13" s="9" t="inlineStr">
        <is>
          <t>Recovery via account email</t>
        </is>
      </c>
      <c r="S13" s="9" t="inlineStr"/>
      <c r="T13" s="9" t="inlineStr">
        <is>
          <t>RealEstate Pro Mailchimp</t>
        </is>
      </c>
      <c r="U13" s="9" t="inlineStr"/>
      <c r="V13" s="9" t="inlineStr">
        <is>
          <t>Essentials</t>
        </is>
      </c>
      <c r="W13" s="9" t="inlineStr">
        <is>
          <t>Essentials - 5000 contacts</t>
        </is>
      </c>
      <c r="X13" s="10" t="n">
        <v>45200</v>
      </c>
      <c r="Y13" s="10" t="n">
        <v>45930</v>
      </c>
      <c r="Z13" s="9" t="inlineStr">
        <is>
          <t>Yes</t>
        </is>
      </c>
      <c r="AA13" s="11" t="n">
        <v>13</v>
      </c>
      <c r="AB13" s="9" t="inlineStr">
        <is>
          <t>Monthly</t>
        </is>
      </c>
      <c r="AC13" s="9" t="inlineStr">
        <is>
          <t>marketing@realestatepro.ae</t>
        </is>
      </c>
      <c r="AD13" s="9" t="inlineStr">
        <is>
          <t>Card ending 3456</t>
        </is>
      </c>
      <c r="AE13" s="9" t="inlineStr">
        <is>
          <t>Admin</t>
        </is>
      </c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>
        <is>
          <t>HTTPS</t>
        </is>
      </c>
      <c r="AP13" s="9" t="inlineStr"/>
      <c r="AQ13" s="9" t="inlineStr">
        <is>
          <t>Dev Mukherjee</t>
        </is>
      </c>
      <c r="AR13" s="9" t="inlineStr">
        <is>
          <t>info@gravity-bp.com</t>
        </is>
      </c>
      <c r="AS13" s="9" t="inlineStr">
        <is>
          <t>Dev Mukherjee</t>
        </is>
      </c>
      <c r="AT13" s="10" t="n">
        <v>45200</v>
      </c>
      <c r="AU13" s="9" t="inlineStr">
        <is>
          <t>Dev Mukherjee</t>
        </is>
      </c>
      <c r="AV13" s="10" t="n">
        <v>45383</v>
      </c>
      <c r="AW13" s="10" t="n">
        <v>45566</v>
      </c>
      <c r="AX13" s="10" t="n">
        <v>45383</v>
      </c>
      <c r="AY13" s="10" t="n">
        <v>45930</v>
      </c>
      <c r="AZ13" s="10" t="n">
        <v>45901</v>
      </c>
      <c r="BA13" s="9" t="inlineStr">
        <is>
          <t>Marketing; Email; Mailchimp; REA</t>
        </is>
      </c>
      <c r="BB13" s="9" t="inlineStr">
        <is>
          <t>5000 contact limit - monitor subscriber count.</t>
        </is>
      </c>
      <c r="BC13" s="9" t="inlineStr">
        <is>
          <t>Active</t>
        </is>
      </c>
    </row>
    <row r="14" ht="17" customHeight="1">
      <c r="A14" s="9" t="inlineStr">
        <is>
          <t>CRED-2024-0011</t>
        </is>
      </c>
      <c r="B14" s="9" t="inlineStr">
        <is>
          <t>REA</t>
        </is>
      </c>
      <c r="C14" s="9" t="inlineStr">
        <is>
          <t>RealEstate Pro PJSC</t>
        </is>
      </c>
      <c r="D14" s="9" t="inlineStr">
        <is>
          <t>Marketing Tools</t>
        </is>
      </c>
      <c r="E14" s="9" t="inlineStr">
        <is>
          <t>HubSpot</t>
        </is>
      </c>
      <c r="F14" s="9" t="inlineStr">
        <is>
          <t>HubSpot CRM - RealEstate Pro</t>
        </is>
      </c>
      <c r="G14" s="9" t="inlineStr">
        <is>
          <t>https://app.hubspot.com</t>
        </is>
      </c>
      <c r="H14" s="9" t="inlineStr">
        <is>
          <t>Production</t>
        </is>
      </c>
      <c r="I14" s="9" t="inlineStr">
        <is>
          <t>Active</t>
        </is>
      </c>
      <c r="J14" s="9" t="inlineStr">
        <is>
          <t>High</t>
        </is>
      </c>
      <c r="K14" s="9" t="inlineStr">
        <is>
          <t>crm@realestatepro.ae</t>
        </is>
      </c>
      <c r="L14" s="9" t="inlineStr">
        <is>
          <t>HS!REA2024CRM</t>
        </is>
      </c>
      <c r="M14" s="9" t="inlineStr">
        <is>
          <t>khalid@realestatepro.ae</t>
        </is>
      </c>
      <c r="N14" s="9" t="inlineStr"/>
      <c r="O14" s="9" t="inlineStr">
        <is>
          <t>Yes</t>
        </is>
      </c>
      <c r="P14" s="9" t="inlineStr">
        <is>
          <t>Email</t>
        </is>
      </c>
      <c r="Q14" s="9" t="inlineStr"/>
      <c r="R14" s="9" t="inlineStr">
        <is>
          <t>Recovery via account email</t>
        </is>
      </c>
      <c r="S14" s="9" t="inlineStr"/>
      <c r="T14" s="9" t="inlineStr">
        <is>
          <t>RealEstate Pro HubSpot</t>
        </is>
      </c>
      <c r="U14" s="9" t="inlineStr"/>
      <c r="V14" s="9" t="inlineStr">
        <is>
          <t>Sales Hub Starter</t>
        </is>
      </c>
      <c r="W14" s="9" t="inlineStr">
        <is>
          <t>Starter</t>
        </is>
      </c>
      <c r="X14" s="10" t="n">
        <v>45200</v>
      </c>
      <c r="Y14" s="10" t="n">
        <v>45930</v>
      </c>
      <c r="Z14" s="9" t="inlineStr">
        <is>
          <t>Yes</t>
        </is>
      </c>
      <c r="AA14" s="11" t="n">
        <v>50</v>
      </c>
      <c r="AB14" s="9" t="inlineStr">
        <is>
          <t>Monthly</t>
        </is>
      </c>
      <c r="AC14" s="9" t="inlineStr">
        <is>
          <t>billing@realestatepro.ae</t>
        </is>
      </c>
      <c r="AD14" s="9" t="inlineStr">
        <is>
          <t>Card ending 3456</t>
        </is>
      </c>
      <c r="AE14" s="9" t="inlineStr">
        <is>
          <t>Admin</t>
        </is>
      </c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>
        <is>
          <t>HTTPS</t>
        </is>
      </c>
      <c r="AP14" s="9" t="inlineStr"/>
      <c r="AQ14" s="9" t="inlineStr">
        <is>
          <t>Dev Mukherjee</t>
        </is>
      </c>
      <c r="AR14" s="9" t="inlineStr">
        <is>
          <t>info@gravity-bp.com</t>
        </is>
      </c>
      <c r="AS14" s="9" t="inlineStr">
        <is>
          <t>Dev Mukherjee</t>
        </is>
      </c>
      <c r="AT14" s="10" t="n">
        <v>45200</v>
      </c>
      <c r="AU14" s="9" t="inlineStr">
        <is>
          <t>Dev Mukherjee</t>
        </is>
      </c>
      <c r="AV14" s="10" t="n">
        <v>45383</v>
      </c>
      <c r="AW14" s="10" t="n">
        <v>45566</v>
      </c>
      <c r="AX14" s="10" t="n">
        <v>45383</v>
      </c>
      <c r="AY14" s="10" t="n">
        <v>45930</v>
      </c>
      <c r="AZ14" s="10" t="n">
        <v>45901</v>
      </c>
      <c r="BA14" s="9" t="inlineStr">
        <is>
          <t>Marketing; CRM; HubSpot; REA</t>
        </is>
      </c>
      <c r="BB14" s="9" t="inlineStr">
        <is>
          <t>2 seats included. API key stored separately.</t>
        </is>
      </c>
      <c r="BC14" s="9" t="inlineStr">
        <is>
          <t>Active</t>
        </is>
      </c>
    </row>
    <row r="15" ht="17" customHeight="1">
      <c r="A15" s="9" t="inlineStr">
        <is>
          <t>CRED-2024-0012</t>
        </is>
      </c>
      <c r="B15" s="9" t="inlineStr">
        <is>
          <t>GBP</t>
        </is>
      </c>
      <c r="C15" s="9" t="inlineStr">
        <is>
          <t>Gravity Business Partners</t>
        </is>
      </c>
      <c r="D15" s="9" t="inlineStr">
        <is>
          <t>Social Media</t>
        </is>
      </c>
      <c r="E15" s="9" t="inlineStr">
        <is>
          <t>LinkedIn Company</t>
        </is>
      </c>
      <c r="F15" s="9" t="inlineStr">
        <is>
          <t>LinkedIn - Gravity Business Partners Page</t>
        </is>
      </c>
      <c r="G15" s="9" t="inlineStr">
        <is>
          <t>https://www.linkedin.com/company/gravitybp</t>
        </is>
      </c>
      <c r="H15" s="9" t="inlineStr">
        <is>
          <t>Production</t>
        </is>
      </c>
      <c r="I15" s="9" t="inlineStr">
        <is>
          <t>Active</t>
        </is>
      </c>
      <c r="J15" s="9" t="inlineStr">
        <is>
          <t>High</t>
        </is>
      </c>
      <c r="K15" s="9" t="inlineStr">
        <is>
          <t>info@gravity-bp.com</t>
        </is>
      </c>
      <c r="L15" s="9" t="inlineStr">
        <is>
          <t>(uses personal M365 account)</t>
        </is>
      </c>
      <c r="M15" s="9" t="inlineStr"/>
      <c r="N15" s="9" t="inlineStr"/>
      <c r="O15" s="9" t="inlineStr">
        <is>
          <t>Yes</t>
        </is>
      </c>
      <c r="P15" s="9" t="inlineStr">
        <is>
          <t>Authenticator App</t>
        </is>
      </c>
      <c r="Q15" s="9" t="inlineStr">
        <is>
          <t>Microsoft Authenticator</t>
        </is>
      </c>
      <c r="R15" s="9" t="inlineStr"/>
      <c r="S15" s="9" t="inlineStr">
        <is>
          <t>Page admin via personal LinkedIn of Dev Mukherjee</t>
        </is>
      </c>
      <c r="T15" s="9" t="inlineStr">
        <is>
          <t>Gravity Business Partners</t>
        </is>
      </c>
      <c r="U15" s="9" t="inlineStr"/>
      <c r="V15" s="9" t="inlineStr"/>
      <c r="W15" s="9" t="inlineStr">
        <is>
          <t>Company Page</t>
        </is>
      </c>
      <c r="X15" s="10" t="inlineStr"/>
      <c r="Y15" s="10" t="inlineStr"/>
      <c r="Z15" s="9" t="inlineStr">
        <is>
          <t>No</t>
        </is>
      </c>
      <c r="AA15" s="11" t="n">
        <v>0</v>
      </c>
      <c r="AB15" s="9" t="inlineStr">
        <is>
          <t>Free</t>
        </is>
      </c>
      <c r="AC15" s="9" t="inlineStr"/>
      <c r="AD15" s="9" t="inlineStr"/>
      <c r="AE15" s="9" t="inlineStr">
        <is>
          <t>Admin</t>
        </is>
      </c>
      <c r="AF15" s="9" t="inlineStr">
        <is>
          <t>CRED-2024-0001</t>
        </is>
      </c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>
        <is>
          <t>HTTPS</t>
        </is>
      </c>
      <c r="AP15" s="9" t="inlineStr"/>
      <c r="AQ15" s="9" t="inlineStr">
        <is>
          <t>Dev Mukherjee</t>
        </is>
      </c>
      <c r="AR15" s="9" t="inlineStr">
        <is>
          <t>info@gravity-bp.com</t>
        </is>
      </c>
      <c r="AS15" s="9" t="inlineStr">
        <is>
          <t>Dev Mukherjee</t>
        </is>
      </c>
      <c r="AT15" s="10" t="n">
        <v>43831</v>
      </c>
      <c r="AU15" s="9" t="inlineStr">
        <is>
          <t>Dev Mukherjee</t>
        </is>
      </c>
      <c r="AV15" s="10" t="n">
        <v>45292</v>
      </c>
      <c r="AW15" s="10" t="n">
        <v>45566</v>
      </c>
      <c r="AX15" s="10" t="inlineStr"/>
      <c r="AY15" s="10" t="inlineStr"/>
      <c r="AZ15" s="10" t="n">
        <v>45658</v>
      </c>
      <c r="BA15" s="9" t="inlineStr">
        <is>
          <t>Social; LinkedIn; GBP</t>
        </is>
      </c>
      <c r="BB15" s="9" t="inlineStr">
        <is>
          <t>Managed via personal account. Add company admin if staff changes.</t>
        </is>
      </c>
      <c r="BC15" s="9" t="inlineStr">
        <is>
          <t>Active</t>
        </is>
      </c>
    </row>
    <row r="16" ht="17" customHeight="1">
      <c r="A16" s="9" t="inlineStr">
        <is>
          <t>CRED-2024-0013</t>
        </is>
      </c>
      <c r="B16" s="9" t="inlineStr">
        <is>
          <t>TAS</t>
        </is>
      </c>
      <c r="C16" s="9" t="inlineStr">
        <is>
          <t>TechAlpha Solutions</t>
        </is>
      </c>
      <c r="D16" s="9" t="inlineStr">
        <is>
          <t>CMS / Website</t>
        </is>
      </c>
      <c r="E16" s="9" t="inlineStr">
        <is>
          <t>WordPress Admin</t>
        </is>
      </c>
      <c r="F16" s="9" t="inlineStr">
        <is>
          <t>WordPress - techalpha.ae</t>
        </is>
      </c>
      <c r="G16" s="9" t="inlineStr">
        <is>
          <t>https://techalpha.ae/wp-admin</t>
        </is>
      </c>
      <c r="H16" s="9" t="inlineStr">
        <is>
          <t>Production</t>
        </is>
      </c>
      <c r="I16" s="9" t="inlineStr">
        <is>
          <t>Active</t>
        </is>
      </c>
      <c r="J16" s="9" t="inlineStr">
        <is>
          <t>High</t>
        </is>
      </c>
      <c r="K16" s="9" t="inlineStr">
        <is>
          <t>admin</t>
        </is>
      </c>
      <c r="L16" s="9" t="inlineStr">
        <is>
          <t>WP!TAS2024@Admin</t>
        </is>
      </c>
      <c r="M16" s="9" t="inlineStr">
        <is>
          <t>it@techalpha.ae</t>
        </is>
      </c>
      <c r="N16" s="9" t="inlineStr"/>
      <c r="O16" s="9" t="inlineStr">
        <is>
          <t>No</t>
        </is>
      </c>
      <c r="P16" s="9" t="inlineStr">
        <is>
          <t>None</t>
        </is>
      </c>
      <c r="Q16" s="9" t="inlineStr"/>
      <c r="R16" s="9" t="inlineStr"/>
      <c r="S16" s="9" t="inlineStr">
        <is>
          <t>Wordfence active. Limit login attempts on.</t>
        </is>
      </c>
      <c r="T16" s="9" t="inlineStr">
        <is>
          <t>TechAlpha WP Admin</t>
        </is>
      </c>
      <c r="U16" s="9" t="inlineStr"/>
      <c r="V16" s="9" t="inlineStr"/>
      <c r="W16" s="9" t="inlineStr"/>
      <c r="X16" s="10" t="inlineStr"/>
      <c r="Y16" s="10" t="inlineStr"/>
      <c r="Z16" s="9" t="inlineStr"/>
      <c r="AA16" s="11" t="n">
        <v>0</v>
      </c>
      <c r="AB16" s="9" t="inlineStr">
        <is>
          <t>Free</t>
        </is>
      </c>
      <c r="AC16" s="9" t="inlineStr"/>
      <c r="AD16" s="9" t="inlineStr"/>
      <c r="AE16" s="9" t="inlineStr">
        <is>
          <t>Admin</t>
        </is>
      </c>
      <c r="AF16" s="9" t="inlineStr">
        <is>
          <t>CRED-2024-0005</t>
        </is>
      </c>
      <c r="AG16" s="9" t="inlineStr"/>
      <c r="AH16" s="9" t="inlineStr"/>
      <c r="AI16" s="9" t="inlineStr"/>
      <c r="AJ16" s="9" t="inlineStr"/>
      <c r="AK16" s="9" t="inlineStr"/>
      <c r="AL16" s="9" t="inlineStr"/>
      <c r="AM16" s="9" t="inlineStr">
        <is>
          <t>sg-srv12.siteground.com</t>
        </is>
      </c>
      <c r="AN16" s="9" t="inlineStr">
        <is>
          <t>443</t>
        </is>
      </c>
      <c r="AO16" s="9" t="inlineStr">
        <is>
          <t>HTTPS</t>
        </is>
      </c>
      <c r="AP16" s="9" t="inlineStr">
        <is>
          <t>wp_techalpha</t>
        </is>
      </c>
      <c r="AQ16" s="9" t="inlineStr">
        <is>
          <t>Dev Mukherjee</t>
        </is>
      </c>
      <c r="AR16" s="9" t="inlineStr">
        <is>
          <t>info@gravity-bp.com</t>
        </is>
      </c>
      <c r="AS16" s="9" t="inlineStr">
        <is>
          <t>Dev Mukherjee</t>
        </is>
      </c>
      <c r="AT16" s="10" t="n">
        <v>45000</v>
      </c>
      <c r="AU16" s="9" t="inlineStr">
        <is>
          <t>Dev Mukherjee</t>
        </is>
      </c>
      <c r="AV16" s="10" t="n">
        <v>45444</v>
      </c>
      <c r="AW16" s="10" t="n">
        <v>45627</v>
      </c>
      <c r="AX16" s="10" t="n">
        <v>45444</v>
      </c>
      <c r="AY16" s="10" t="inlineStr"/>
      <c r="AZ16" s="10" t="n">
        <v>45809</v>
      </c>
      <c r="BA16" s="9" t="inlineStr">
        <is>
          <t>CMS; WordPress; TAS</t>
        </is>
      </c>
      <c r="BB16" s="9" t="inlineStr">
        <is>
          <t>Linked to cPanel (CRED-2024-0005). DB on same server.</t>
        </is>
      </c>
      <c r="BC16" s="9" t="inlineStr">
        <is>
          <t>Active</t>
        </is>
      </c>
    </row>
    <row r="17" ht="17" customHeight="1">
      <c r="A17" s="9" t="inlineStr">
        <is>
          <t>CRED-2024-0014</t>
        </is>
      </c>
      <c r="B17" s="9" t="inlineStr">
        <is>
          <t>MED</t>
        </is>
      </c>
      <c r="C17" s="9" t="inlineStr">
        <is>
          <t>MediCare Clinics Group</t>
        </is>
      </c>
      <c r="D17" s="9" t="inlineStr">
        <is>
          <t>Email System</t>
        </is>
      </c>
      <c r="E17" s="9" t="inlineStr">
        <is>
          <t>Zoho Mail</t>
        </is>
      </c>
      <c r="F17" s="9" t="inlineStr">
        <is>
          <t>Zoho Mail - medicareclinics.ae</t>
        </is>
      </c>
      <c r="G17" s="9" t="inlineStr">
        <is>
          <t>https://mail.zoho.com/zm/</t>
        </is>
      </c>
      <c r="H17" s="9" t="inlineStr">
        <is>
          <t>Production</t>
        </is>
      </c>
      <c r="I17" s="9" t="inlineStr">
        <is>
          <t>Inactive</t>
        </is>
      </c>
      <c r="J17" s="9" t="inlineStr">
        <is>
          <t>Medium</t>
        </is>
      </c>
      <c r="K17" s="9" t="inlineStr">
        <is>
          <t>postmaster@medicareclinics.ae</t>
        </is>
      </c>
      <c r="L17" s="9" t="inlineStr">
        <is>
          <t>ZM!MED2023Old</t>
        </is>
      </c>
      <c r="M17" s="9" t="inlineStr">
        <is>
          <t>admin@medicareclinics.ae</t>
        </is>
      </c>
      <c r="N17" s="9" t="inlineStr"/>
      <c r="O17" s="9" t="inlineStr">
        <is>
          <t>No</t>
        </is>
      </c>
      <c r="P17" s="9" t="inlineStr">
        <is>
          <t>None</t>
        </is>
      </c>
      <c r="Q17" s="9" t="inlineStr"/>
      <c r="R17" s="9" t="inlineStr"/>
      <c r="S17" s="9" t="inlineStr">
        <is>
          <t>Migrated to M365 Exchange. Kept for archival only.</t>
        </is>
      </c>
      <c r="T17" s="9" t="inlineStr">
        <is>
          <t>MediCare Zoho Mail</t>
        </is>
      </c>
      <c r="U17" s="9" t="inlineStr"/>
      <c r="V17" s="9" t="inlineStr">
        <is>
          <t>Free Plan</t>
        </is>
      </c>
      <c r="W17" s="9" t="inlineStr">
        <is>
          <t>Free</t>
        </is>
      </c>
      <c r="X17" s="10" t="n">
        <v>43831</v>
      </c>
      <c r="Y17" s="10" t="n">
        <v>45305</v>
      </c>
      <c r="Z17" s="9" t="inlineStr">
        <is>
          <t>No</t>
        </is>
      </c>
      <c r="AA17" s="11" t="n">
        <v>0</v>
      </c>
      <c r="AB17" s="9" t="inlineStr">
        <is>
          <t>Free</t>
        </is>
      </c>
      <c r="AC17" s="9" t="inlineStr"/>
      <c r="AD17" s="9" t="inlineStr"/>
      <c r="AE17" s="9" t="inlineStr">
        <is>
          <t>Admin</t>
        </is>
      </c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>
        <is>
          <t>HTTPS</t>
        </is>
      </c>
      <c r="AP17" s="9" t="inlineStr"/>
      <c r="AQ17" s="9" t="inlineStr">
        <is>
          <t>Dev Mukherjee</t>
        </is>
      </c>
      <c r="AR17" s="9" t="inlineStr">
        <is>
          <t>info@gravity-bp.com</t>
        </is>
      </c>
      <c r="AS17" s="9" t="inlineStr">
        <is>
          <t>Dev Mukherjee</t>
        </is>
      </c>
      <c r="AT17" s="10" t="n">
        <v>43831</v>
      </c>
      <c r="AU17" s="9" t="inlineStr">
        <is>
          <t>Dev Mukherjee</t>
        </is>
      </c>
      <c r="AV17" s="10" t="n">
        <v>45306</v>
      </c>
      <c r="AW17" s="10" t="n">
        <v>45306</v>
      </c>
      <c r="AX17" s="10" t="n">
        <v>45306</v>
      </c>
      <c r="AY17" s="10" t="n">
        <v>45305</v>
      </c>
      <c r="AZ17" s="10" t="inlineStr"/>
      <c r="BA17" s="9" t="inlineStr">
        <is>
          <t>Email; Zoho; MED; Inactive</t>
        </is>
      </c>
      <c r="BB17" s="9" t="inlineStr">
        <is>
          <t>INACTIVE - migrated to M365. Keep for archive email access.</t>
        </is>
      </c>
      <c r="BC17" s="9" t="inlineStr">
        <is>
          <t>Active</t>
        </is>
      </c>
    </row>
    <row r="18" ht="17" customHeight="1">
      <c r="A18" s="9" t="inlineStr">
        <is>
          <t>CRED-2024-0015</t>
        </is>
      </c>
      <c r="B18" s="9" t="inlineStr">
        <is>
          <t>GBP</t>
        </is>
      </c>
      <c r="C18" s="9" t="inlineStr">
        <is>
          <t>Gravity Business Partners</t>
        </is>
      </c>
      <c r="D18" s="9" t="inlineStr">
        <is>
          <t>Development &amp; Code</t>
        </is>
      </c>
      <c r="E18" s="9" t="inlineStr">
        <is>
          <t>GitHub Organization</t>
        </is>
      </c>
      <c r="F18" s="9" t="inlineStr">
        <is>
          <t>GitHub - GravityBP Org</t>
        </is>
      </c>
      <c r="G18" s="9" t="inlineStr">
        <is>
          <t>https://github.com/gravitybp</t>
        </is>
      </c>
      <c r="H18" s="9" t="inlineStr">
        <is>
          <t>Production</t>
        </is>
      </c>
      <c r="I18" s="9" t="inlineStr">
        <is>
          <t>Active</t>
        </is>
      </c>
      <c r="J18" s="9" t="inlineStr">
        <is>
          <t>High</t>
        </is>
      </c>
      <c r="K18" s="9" t="inlineStr">
        <is>
          <t>dev@gravity-bp.com</t>
        </is>
      </c>
      <c r="L18" s="9" t="inlineStr">
        <is>
          <t>(OAuth/SSO)</t>
        </is>
      </c>
      <c r="M18" s="9" t="inlineStr">
        <is>
          <t>info@gravity-bp.com</t>
        </is>
      </c>
      <c r="N18" s="9" t="inlineStr"/>
      <c r="O18" s="9" t="inlineStr">
        <is>
          <t>Yes</t>
        </is>
      </c>
      <c r="P18" s="9" t="inlineStr">
        <is>
          <t>Authenticator App</t>
        </is>
      </c>
      <c r="Q18" s="9" t="inlineStr">
        <is>
          <t>GitHub Authenticator</t>
        </is>
      </c>
      <c r="R18" s="9" t="inlineStr">
        <is>
          <t>1Password - GBP</t>
        </is>
      </c>
      <c r="S18" s="9" t="inlineStr">
        <is>
          <t>Personal access tokens stored separately in 1Password</t>
        </is>
      </c>
      <c r="T18" s="9" t="inlineStr">
        <is>
          <t>GravityBP</t>
        </is>
      </c>
      <c r="U18" s="9" t="inlineStr"/>
      <c r="V18" s="9" t="inlineStr">
        <is>
          <t>Team Plan</t>
        </is>
      </c>
      <c r="W18" s="9" t="inlineStr">
        <is>
          <t>Team</t>
        </is>
      </c>
      <c r="X18" s="10" t="n">
        <v>44197</v>
      </c>
      <c r="Y18" s="10" t="inlineStr"/>
      <c r="Z18" s="9" t="inlineStr">
        <is>
          <t>Yes</t>
        </is>
      </c>
      <c r="AA18" s="11" t="n">
        <v>4</v>
      </c>
      <c r="AB18" s="9" t="inlineStr">
        <is>
          <t>Monthly</t>
        </is>
      </c>
      <c r="AC18" s="9" t="inlineStr">
        <is>
          <t>billing@gravity-bp.com</t>
        </is>
      </c>
      <c r="AD18" s="9" t="inlineStr">
        <is>
          <t>Card ending 4242</t>
        </is>
      </c>
      <c r="AE18" s="9" t="inlineStr">
        <is>
          <t>Owner</t>
        </is>
      </c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>
        <is>
          <t>github.com</t>
        </is>
      </c>
      <c r="AN18" s="9" t="inlineStr">
        <is>
          <t>443</t>
        </is>
      </c>
      <c r="AO18" s="9" t="inlineStr">
        <is>
          <t>HTTPS</t>
        </is>
      </c>
      <c r="AP18" s="9" t="inlineStr"/>
      <c r="AQ18" s="9" t="inlineStr">
        <is>
          <t>Dev Mukherjee</t>
        </is>
      </c>
      <c r="AR18" s="9" t="inlineStr">
        <is>
          <t>info@gravity-bp.com</t>
        </is>
      </c>
      <c r="AS18" s="9" t="inlineStr">
        <is>
          <t>Dev Mukherjee</t>
        </is>
      </c>
      <c r="AT18" s="10" t="n">
        <v>44197</v>
      </c>
      <c r="AU18" s="9" t="inlineStr">
        <is>
          <t>Dev Mukherjee</t>
        </is>
      </c>
      <c r="AV18" s="10" t="n">
        <v>45444</v>
      </c>
      <c r="AW18" s="10" t="n">
        <v>45627</v>
      </c>
      <c r="AX18" s="10" t="n">
        <v>45444</v>
      </c>
      <c r="AY18" s="10" t="inlineStr"/>
      <c r="AZ18" s="10" t="n">
        <v>45809</v>
      </c>
      <c r="BA18" s="9" t="inlineStr">
        <is>
          <t>Dev; GitHub; Code; GBP</t>
        </is>
      </c>
      <c r="BB18" s="9" t="inlineStr">
        <is>
          <t>3 members. Private repos. PATs tracked separately.</t>
        </is>
      </c>
      <c r="BC18" s="9" t="inlineStr">
        <is>
          <t>Active</t>
        </is>
      </c>
    </row>
  </sheetData>
  <mergeCells count="6">
    <mergeCell ref="A1:BC1"/>
    <mergeCell ref="K2:S2"/>
    <mergeCell ref="AE2:AP2"/>
    <mergeCell ref="T2:AD2"/>
    <mergeCell ref="A2:J2"/>
    <mergeCell ref="AQ2:BC2"/>
  </mergeCells>
  <dataValidations count="10">
    <dataValidation sqref="I4:I1003" showDropDown="0" showInputMessage="0" showErrorMessage="1" allowBlank="1" errorTitle="Invalid Value" error="Please choose a value from the dropdown list." type="list">
      <formula1>"Active,Inactive,Expired,Compromised,Archived"</formula1>
    </dataValidation>
    <dataValidation sqref="J4:J1003" showDropDown="0" showInputMessage="0" showErrorMessage="1" allowBlank="1" errorTitle="Invalid Value" error="Please choose a value from the dropdown list." type="list">
      <formula1>"Critical,High,Medium,Low"</formula1>
    </dataValidation>
    <dataValidation sqref="H4:H1003" showDropDown="0" showInputMessage="0" showErrorMessage="1" allowBlank="1" errorTitle="Invalid Value" error="Please choose a value from the dropdown list." type="list">
      <formula1>"Production,Staging,Development,Test"</formula1>
    </dataValidation>
    <dataValidation sqref="O4:O1003" showDropDown="0" showInputMessage="0" showErrorMessage="1" allowBlank="1" errorTitle="Invalid Value" error="Please choose a value from the dropdown list." type="list">
      <formula1>"Yes,No"</formula1>
    </dataValidation>
    <dataValidation sqref="P4:P1003" showDropDown="0" showInputMessage="0" showErrorMessage="1" allowBlank="1" errorTitle="Invalid Value" error="Please choose a value from the dropdown list." type="list">
      <formula1>"Authenticator App,SMS,Email,Hardware Key,None"</formula1>
    </dataValidation>
    <dataValidation sqref="AE4:AE1003" showDropDown="0" showInputMessage="0" showErrorMessage="1" allowBlank="1" errorTitle="Invalid Value" error="Please choose a value from the dropdown list." type="list">
      <formula1>"Owner,Admin,Editor,Viewer,API Only,Read-Only"</formula1>
    </dataValidation>
    <dataValidation sqref="AO4:AO1003" showDropDown="0" showInputMessage="0" showErrorMessage="1" allowBlank="1" errorTitle="Invalid Value" error="Please choose a value from the dropdown list." type="list">
      <formula1>"HTTPS,SFTP,FTP,FTPS,SSH,RDP,MySQL,SMTP,IMAP,POP3"</formula1>
    </dataValidation>
    <dataValidation sqref="AB4:AB1003" showDropDown="0" showInputMessage="0" showErrorMessage="1" allowBlank="1" errorTitle="Invalid Value" error="Please choose a value from the dropdown list." type="list">
      <formula1>"Monthly,Annual,Bi-Annual,One-Time,Free"</formula1>
    </dataValidation>
    <dataValidation sqref="Z4:Z1003" showDropDown="0" showInputMessage="0" showErrorMessage="1" allowBlank="1" errorTitle="Invalid Value" error="Please choose a value from the dropdown list." type="list">
      <formula1>"Yes,No"</formula1>
    </dataValidation>
    <dataValidation sqref="BC4:BC1003" showDropDown="0" showInputMessage="0" showErrorMessage="1" allowBlank="1" errorTitle="Invalid Value" error="Please choose a value from the dropdown list." type="list">
      <formula1>"Active,Archived"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4" customWidth="1" min="5" max="5"/>
    <col width="24" customWidth="1" min="6" max="6"/>
    <col width="20" customWidth="1" min="7" max="7"/>
    <col width="22" customWidth="1" min="8" max="8"/>
    <col width="30" customWidth="1" min="9" max="9"/>
    <col width="30" customWidth="1" min="10" max="10"/>
    <col width="22" customWidth="1" min="11" max="11"/>
    <col width="30" customWidth="1" min="12" max="12"/>
    <col width="30" customWidth="1" min="13" max="13"/>
    <col width="40" customWidth="1" min="14" max="14"/>
  </cols>
  <sheetData>
    <row r="1" ht="32" customHeight="1">
      <c r="A1" s="1" t="inlineStr">
        <is>
          <t xml:space="preserve">  CHANGE LOG — Full Audit Trail</t>
        </is>
      </c>
    </row>
    <row r="2" ht="20" customHeight="1">
      <c r="A2" s="12" t="inlineStr">
        <is>
          <t>Log EVERY action here: credential created, updated, password changed, accessed, archived, or compromised.  Old_Value_Masked and New_Value_Masked should show *** for sensitive fields.</t>
        </is>
      </c>
    </row>
    <row r="3" ht="28" customHeight="1">
      <c r="A3" s="8" t="inlineStr">
        <is>
          <t>LogID</t>
        </is>
      </c>
      <c r="B3" s="8" t="inlineStr">
        <is>
          <t>Timestamp</t>
        </is>
      </c>
      <c r="C3" s="8" t="inlineStr">
        <is>
          <t>CredentialID</t>
        </is>
      </c>
      <c r="D3" s="8" t="inlineStr">
        <is>
          <t>Tenant Code</t>
        </is>
      </c>
      <c r="E3" s="8" t="inlineStr">
        <is>
          <t>Tenant Name</t>
        </is>
      </c>
      <c r="F3" s="8" t="inlineStr">
        <is>
          <t>Service Name</t>
        </is>
      </c>
      <c r="G3" s="8" t="inlineStr">
        <is>
          <t>Action</t>
        </is>
      </c>
      <c r="H3" s="8" t="inlineStr">
        <is>
          <t>Field Changed</t>
        </is>
      </c>
      <c r="I3" s="8" t="inlineStr">
        <is>
          <t>Old Value Masked</t>
        </is>
      </c>
      <c r="J3" s="8" t="inlineStr">
        <is>
          <t>New Value Masked</t>
        </is>
      </c>
      <c r="K3" s="8" t="inlineStr">
        <is>
          <t>Changed By</t>
        </is>
      </c>
      <c r="L3" s="8" t="inlineStr">
        <is>
          <t>Changed By Email</t>
        </is>
      </c>
      <c r="M3" s="8" t="inlineStr">
        <is>
          <t>Reason</t>
        </is>
      </c>
      <c r="N3" s="8" t="inlineStr">
        <is>
          <t>Notes</t>
        </is>
      </c>
    </row>
    <row r="4" ht="17" customHeight="1">
      <c r="A4" s="9" t="inlineStr">
        <is>
          <t>LOG-2024-0001</t>
        </is>
      </c>
      <c r="B4" s="13" t="n">
        <v>45292.375</v>
      </c>
      <c r="C4" s="9" t="inlineStr">
        <is>
          <t>CRED-2024-0001</t>
        </is>
      </c>
      <c r="D4" s="9" t="inlineStr">
        <is>
          <t>GBP</t>
        </is>
      </c>
      <c r="E4" s="9" t="inlineStr">
        <is>
          <t>Gravity Business Partners</t>
        </is>
      </c>
      <c r="F4" s="9" t="inlineStr">
        <is>
          <t>Microsoft 365 - GBP Tenant</t>
        </is>
      </c>
      <c r="G4" s="9" t="inlineStr">
        <is>
          <t>Created</t>
        </is>
      </c>
      <c r="H4" s="9" t="inlineStr">
        <is>
          <t>All Fields</t>
        </is>
      </c>
      <c r="I4" s="9" t="inlineStr"/>
      <c r="J4" s="9" t="inlineStr"/>
      <c r="K4" s="9" t="inlineStr">
        <is>
          <t>Dev Mukherjee</t>
        </is>
      </c>
      <c r="L4" s="9" t="inlineStr">
        <is>
          <t>info@gravity-bp.com</t>
        </is>
      </c>
      <c r="M4" s="9" t="inlineStr">
        <is>
          <t>Initial setup</t>
        </is>
      </c>
      <c r="N4" s="9" t="inlineStr"/>
    </row>
    <row r="5" ht="17" customHeight="1">
      <c r="A5" s="9" t="inlineStr">
        <is>
          <t>LOG-2024-0002</t>
        </is>
      </c>
      <c r="B5" s="13" t="n">
        <v>45366.4375</v>
      </c>
      <c r="C5" s="9" t="inlineStr">
        <is>
          <t>CRED-2024-0004</t>
        </is>
      </c>
      <c r="D5" s="9" t="inlineStr">
        <is>
          <t>TAS</t>
        </is>
      </c>
      <c r="E5" s="9" t="inlineStr">
        <is>
          <t>TechAlpha Solutions</t>
        </is>
      </c>
      <c r="F5" s="9" t="inlineStr">
        <is>
          <t>Namecheap - techalpha.ae</t>
        </is>
      </c>
      <c r="G5" s="9" t="inlineStr">
        <is>
          <t>Created</t>
        </is>
      </c>
      <c r="H5" s="9" t="inlineStr">
        <is>
          <t>All Fields</t>
        </is>
      </c>
      <c r="I5" s="9" t="inlineStr"/>
      <c r="J5" s="9" t="inlineStr"/>
      <c r="K5" s="9" t="inlineStr">
        <is>
          <t>Dev Mukherjee</t>
        </is>
      </c>
      <c r="L5" s="9" t="inlineStr">
        <is>
          <t>info@gravity-bp.com</t>
        </is>
      </c>
      <c r="M5" s="9" t="inlineStr">
        <is>
          <t>New client onboarding</t>
        </is>
      </c>
      <c r="N5" s="9" t="inlineStr"/>
    </row>
    <row r="6" ht="17" customHeight="1">
      <c r="A6" s="9" t="inlineStr">
        <is>
          <t>LOG-2024-0003</t>
        </is>
      </c>
      <c r="B6" s="13" t="n">
        <v>45444.61458333334</v>
      </c>
      <c r="C6" s="9" t="inlineStr">
        <is>
          <t>CRED-2024-0001</t>
        </is>
      </c>
      <c r="D6" s="9" t="inlineStr">
        <is>
          <t>GBP</t>
        </is>
      </c>
      <c r="E6" s="9" t="inlineStr">
        <is>
          <t>Gravity Business Partners</t>
        </is>
      </c>
      <c r="F6" s="9" t="inlineStr">
        <is>
          <t>Microsoft 365 - GBP Tenant</t>
        </is>
      </c>
      <c r="G6" s="9" t="inlineStr">
        <is>
          <t>Password Changed</t>
        </is>
      </c>
      <c r="H6" s="9" t="inlineStr">
        <is>
          <t>Password</t>
        </is>
      </c>
      <c r="I6" s="9" t="inlineStr">
        <is>
          <t>***</t>
        </is>
      </c>
      <c r="J6" s="9" t="inlineStr">
        <is>
          <t>***</t>
        </is>
      </c>
      <c r="K6" s="9" t="inlineStr">
        <is>
          <t>Dev Mukherjee</t>
        </is>
      </c>
      <c r="L6" s="9" t="inlineStr">
        <is>
          <t>info@gravity-bp.com</t>
        </is>
      </c>
      <c r="M6" s="9" t="inlineStr">
        <is>
          <t>Quarterly password rotation</t>
        </is>
      </c>
      <c r="N6" s="9" t="inlineStr"/>
    </row>
    <row r="7" ht="17" customHeight="1">
      <c r="A7" s="9" t="inlineStr">
        <is>
          <t>LOG-2024-0004</t>
        </is>
      </c>
      <c r="B7" s="13" t="n">
        <v>45444.61805555555</v>
      </c>
      <c r="C7" s="9" t="inlineStr">
        <is>
          <t>CRED-2024-0001</t>
        </is>
      </c>
      <c r="D7" s="9" t="inlineStr">
        <is>
          <t>GBP</t>
        </is>
      </c>
      <c r="E7" s="9" t="inlineStr">
        <is>
          <t>Gravity Business Partners</t>
        </is>
      </c>
      <c r="F7" s="9" t="inlineStr">
        <is>
          <t>Microsoft 365 - GBP Tenant</t>
        </is>
      </c>
      <c r="G7" s="9" t="inlineStr">
        <is>
          <t>Updated</t>
        </is>
      </c>
      <c r="H7" s="9" t="inlineStr">
        <is>
          <t>Last_Updated_Date</t>
        </is>
      </c>
      <c r="I7" s="9" t="inlineStr">
        <is>
          <t>2024-01-01</t>
        </is>
      </c>
      <c r="J7" s="9" t="inlineStr">
        <is>
          <t>2024-06-01</t>
        </is>
      </c>
      <c r="K7" s="9" t="inlineStr">
        <is>
          <t>Dev Mukherjee</t>
        </is>
      </c>
      <c r="L7" s="9" t="inlineStr">
        <is>
          <t>info@gravity-bp.com</t>
        </is>
      </c>
      <c r="M7" s="9" t="inlineStr">
        <is>
          <t>Metadata update after password change</t>
        </is>
      </c>
      <c r="N7" s="9" t="inlineStr"/>
    </row>
    <row r="8" ht="17" customHeight="1">
      <c r="A8" s="9" t="inlineStr">
        <is>
          <t>LOG-2024-0005</t>
        </is>
      </c>
      <c r="B8" s="13" t="n">
        <v>45474.375</v>
      </c>
      <c r="C8" s="9" t="inlineStr">
        <is>
          <t>CRED-2024-0007</t>
        </is>
      </c>
      <c r="D8" s="9" t="inlineStr">
        <is>
          <t>BKR</t>
        </is>
      </c>
      <c r="E8" s="9" t="inlineStr">
        <is>
          <t>Bakery King LLC</t>
        </is>
      </c>
      <c r="F8" s="9" t="inlineStr">
        <is>
          <t>Google Workspace - bakeryking.com</t>
        </is>
      </c>
      <c r="G8" s="9" t="inlineStr">
        <is>
          <t>Updated</t>
        </is>
      </c>
      <c r="H8" s="9" t="inlineStr">
        <is>
          <t>License_Type</t>
        </is>
      </c>
      <c r="I8" s="9" t="inlineStr">
        <is>
          <t>Business Starter</t>
        </is>
      </c>
      <c r="J8" s="9" t="inlineStr">
        <is>
          <t>Business Starter</t>
        </is>
      </c>
      <c r="K8" s="9" t="inlineStr">
        <is>
          <t>Dev Mukherjee</t>
        </is>
      </c>
      <c r="L8" s="9" t="inlineStr">
        <is>
          <t>info@gravity-bp.com</t>
        </is>
      </c>
      <c r="M8" s="9" t="inlineStr">
        <is>
          <t>Annual review</t>
        </is>
      </c>
      <c r="N8" s="9" t="inlineStr"/>
    </row>
    <row r="9" ht="17" customHeight="1">
      <c r="A9" s="9" t="inlineStr">
        <is>
          <t>LOG-2024-0006</t>
        </is>
      </c>
      <c r="B9" s="13" t="n">
        <v>45306.45833333334</v>
      </c>
      <c r="C9" s="9" t="inlineStr">
        <is>
          <t>CRED-2024-0014</t>
        </is>
      </c>
      <c r="D9" s="9" t="inlineStr">
        <is>
          <t>MED</t>
        </is>
      </c>
      <c r="E9" s="9" t="inlineStr">
        <is>
          <t>MediCare Clinics Group</t>
        </is>
      </c>
      <c r="F9" s="9" t="inlineStr">
        <is>
          <t>Zoho Mail - medicareclinics.ae</t>
        </is>
      </c>
      <c r="G9" s="9" t="inlineStr">
        <is>
          <t>Updated</t>
        </is>
      </c>
      <c r="H9" s="9" t="inlineStr">
        <is>
          <t>Status</t>
        </is>
      </c>
      <c r="I9" s="9" t="inlineStr">
        <is>
          <t>Active</t>
        </is>
      </c>
      <c r="J9" s="9" t="inlineStr">
        <is>
          <t>Inactive</t>
        </is>
      </c>
      <c r="K9" s="9" t="inlineStr">
        <is>
          <t>Dev Mukherjee</t>
        </is>
      </c>
      <c r="L9" s="9" t="inlineStr">
        <is>
          <t>info@gravity-bp.com</t>
        </is>
      </c>
      <c r="M9" s="9" t="inlineStr">
        <is>
          <t>Migrated to M365. Zoho decommissioned.</t>
        </is>
      </c>
      <c r="N9" s="9" t="inlineStr"/>
    </row>
    <row r="10" ht="17" customHeight="1">
      <c r="A10" s="9" t="inlineStr">
        <is>
          <t>LOG-2024-0007</t>
        </is>
      </c>
      <c r="B10" s="13" t="n">
        <v>45306.46180555555</v>
      </c>
      <c r="C10" s="9" t="inlineStr">
        <is>
          <t>CRED-2024-0009</t>
        </is>
      </c>
      <c r="D10" s="9" t="inlineStr">
        <is>
          <t>MED</t>
        </is>
      </c>
      <c r="E10" s="9" t="inlineStr">
        <is>
          <t>MediCare Clinics Group</t>
        </is>
      </c>
      <c r="F10" s="9" t="inlineStr">
        <is>
          <t>Microsoft 365 - MediCare Tenant</t>
        </is>
      </c>
      <c r="G10" s="9" t="inlineStr">
        <is>
          <t>Created</t>
        </is>
      </c>
      <c r="H10" s="9" t="inlineStr">
        <is>
          <t>All Fields</t>
        </is>
      </c>
      <c r="I10" s="9" t="inlineStr"/>
      <c r="J10" s="9" t="inlineStr"/>
      <c r="K10" s="9" t="inlineStr">
        <is>
          <t>Dev Mukherjee</t>
        </is>
      </c>
      <c r="L10" s="9" t="inlineStr">
        <is>
          <t>info@gravity-bp.com</t>
        </is>
      </c>
      <c r="M10" s="9" t="inlineStr">
        <is>
          <t>M365 migration complete</t>
        </is>
      </c>
      <c r="N10" s="9" t="inlineStr"/>
    </row>
    <row r="11">
      <c r="B11" s="14" t="n"/>
    </row>
    <row r="12">
      <c r="B12" s="14" t="n"/>
    </row>
    <row r="13">
      <c r="B13" s="14" t="n"/>
    </row>
    <row r="14">
      <c r="B14" s="14" t="n"/>
    </row>
    <row r="15">
      <c r="B15" s="14" t="n"/>
    </row>
    <row r="16">
      <c r="B16" s="14" t="n"/>
    </row>
    <row r="17">
      <c r="B17" s="14" t="n"/>
    </row>
    <row r="18">
      <c r="B18" s="14" t="n"/>
    </row>
    <row r="19">
      <c r="B19" s="14" t="n"/>
    </row>
    <row r="20">
      <c r="B20" s="14" t="n"/>
    </row>
    <row r="21">
      <c r="B21" s="14" t="n"/>
    </row>
    <row r="22">
      <c r="B22" s="14" t="n"/>
    </row>
    <row r="23">
      <c r="B23" s="14" t="n"/>
    </row>
    <row r="24">
      <c r="B24" s="14" t="n"/>
    </row>
    <row r="25">
      <c r="B25" s="14" t="n"/>
    </row>
    <row r="26">
      <c r="B26" s="14" t="n"/>
    </row>
    <row r="27">
      <c r="B27" s="14" t="n"/>
    </row>
    <row r="28">
      <c r="B28" s="14" t="n"/>
    </row>
    <row r="29">
      <c r="B29" s="14" t="n"/>
    </row>
    <row r="30">
      <c r="B30" s="14" t="n"/>
    </row>
    <row r="31">
      <c r="B31" s="14" t="n"/>
    </row>
    <row r="32">
      <c r="B32" s="14" t="n"/>
    </row>
    <row r="33">
      <c r="B33" s="14" t="n"/>
    </row>
    <row r="34">
      <c r="B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  <row r="42">
      <c r="B42" s="14" t="n"/>
    </row>
    <row r="43">
      <c r="B43" s="14" t="n"/>
    </row>
    <row r="44">
      <c r="B44" s="14" t="n"/>
    </row>
    <row r="45">
      <c r="B45" s="14" t="n"/>
    </row>
    <row r="46">
      <c r="B46" s="14" t="n"/>
    </row>
    <row r="47">
      <c r="B47" s="14" t="n"/>
    </row>
    <row r="48">
      <c r="B48" s="14" t="n"/>
    </row>
    <row r="49">
      <c r="B49" s="14" t="n"/>
    </row>
    <row r="50">
      <c r="B50" s="14" t="n"/>
    </row>
    <row r="51">
      <c r="B51" s="14" t="n"/>
    </row>
    <row r="52">
      <c r="B52" s="14" t="n"/>
    </row>
    <row r="53">
      <c r="B53" s="14" t="n"/>
    </row>
    <row r="54">
      <c r="B54" s="14" t="n"/>
    </row>
    <row r="55">
      <c r="B55" s="14" t="n"/>
    </row>
    <row r="56">
      <c r="B56" s="14" t="n"/>
    </row>
    <row r="57">
      <c r="B57" s="14" t="n"/>
    </row>
    <row r="58">
      <c r="B58" s="14" t="n"/>
    </row>
    <row r="59">
      <c r="B59" s="14" t="n"/>
    </row>
    <row r="60">
      <c r="B60" s="14" t="n"/>
    </row>
    <row r="61">
      <c r="B61" s="14" t="n"/>
    </row>
    <row r="62">
      <c r="B62" s="14" t="n"/>
    </row>
    <row r="63">
      <c r="B63" s="14" t="n"/>
    </row>
    <row r="64">
      <c r="B64" s="14" t="n"/>
    </row>
    <row r="65">
      <c r="B65" s="14" t="n"/>
    </row>
    <row r="66">
      <c r="B66" s="14" t="n"/>
    </row>
    <row r="67">
      <c r="B67" s="14" t="n"/>
    </row>
    <row r="68">
      <c r="B68" s="14" t="n"/>
    </row>
    <row r="69">
      <c r="B69" s="14" t="n"/>
    </row>
    <row r="70">
      <c r="B70" s="14" t="n"/>
    </row>
    <row r="71">
      <c r="B71" s="14" t="n"/>
    </row>
    <row r="72">
      <c r="B72" s="14" t="n"/>
    </row>
    <row r="73">
      <c r="B73" s="14" t="n"/>
    </row>
    <row r="74">
      <c r="B74" s="14" t="n"/>
    </row>
    <row r="75">
      <c r="B75" s="14" t="n"/>
    </row>
    <row r="76">
      <c r="B76" s="14" t="n"/>
    </row>
    <row r="77">
      <c r="B77" s="14" t="n"/>
    </row>
    <row r="78">
      <c r="B78" s="14" t="n"/>
    </row>
    <row r="79">
      <c r="B79" s="14" t="n"/>
    </row>
    <row r="80">
      <c r="B80" s="14" t="n"/>
    </row>
    <row r="81">
      <c r="B81" s="14" t="n"/>
    </row>
    <row r="82">
      <c r="B82" s="14" t="n"/>
    </row>
    <row r="83">
      <c r="B83" s="14" t="n"/>
    </row>
    <row r="84">
      <c r="B84" s="14" t="n"/>
    </row>
    <row r="85">
      <c r="B85" s="14" t="n"/>
    </row>
    <row r="86">
      <c r="B86" s="14" t="n"/>
    </row>
    <row r="87">
      <c r="B87" s="14" t="n"/>
    </row>
    <row r="88">
      <c r="B88" s="14" t="n"/>
    </row>
    <row r="89">
      <c r="B89" s="14" t="n"/>
    </row>
    <row r="90">
      <c r="B90" s="14" t="n"/>
    </row>
    <row r="91">
      <c r="B91" s="14" t="n"/>
    </row>
    <row r="92">
      <c r="B92" s="14" t="n"/>
    </row>
    <row r="93">
      <c r="B93" s="14" t="n"/>
    </row>
    <row r="94">
      <c r="B94" s="14" t="n"/>
    </row>
    <row r="95">
      <c r="B95" s="14" t="n"/>
    </row>
    <row r="96">
      <c r="B96" s="14" t="n"/>
    </row>
    <row r="97">
      <c r="B97" s="14" t="n"/>
    </row>
    <row r="98">
      <c r="B98" s="14" t="n"/>
    </row>
    <row r="99">
      <c r="B99" s="14" t="n"/>
    </row>
    <row r="100">
      <c r="B100" s="14" t="n"/>
    </row>
    <row r="101">
      <c r="B101" s="14" t="n"/>
    </row>
    <row r="102">
      <c r="B102" s="14" t="n"/>
    </row>
    <row r="103">
      <c r="B103" s="14" t="n"/>
    </row>
    <row r="104">
      <c r="B104" s="14" t="n"/>
    </row>
    <row r="105">
      <c r="B105" s="14" t="n"/>
    </row>
    <row r="106">
      <c r="B106" s="14" t="n"/>
    </row>
    <row r="107">
      <c r="B107" s="14" t="n"/>
    </row>
    <row r="108">
      <c r="B108" s="14" t="n"/>
    </row>
    <row r="109">
      <c r="B109" s="14" t="n"/>
    </row>
    <row r="110">
      <c r="B110" s="14" t="n"/>
    </row>
    <row r="111">
      <c r="B111" s="14" t="n"/>
    </row>
    <row r="112">
      <c r="B112" s="14" t="n"/>
    </row>
    <row r="113">
      <c r="B113" s="14" t="n"/>
    </row>
    <row r="114">
      <c r="B114" s="14" t="n"/>
    </row>
    <row r="115">
      <c r="B115" s="14" t="n"/>
    </row>
    <row r="116">
      <c r="B116" s="14" t="n"/>
    </row>
    <row r="117">
      <c r="B117" s="14" t="n"/>
    </row>
    <row r="118">
      <c r="B118" s="14" t="n"/>
    </row>
    <row r="119">
      <c r="B119" s="14" t="n"/>
    </row>
    <row r="120">
      <c r="B120" s="14" t="n"/>
    </row>
    <row r="121">
      <c r="B121" s="14" t="n"/>
    </row>
    <row r="122">
      <c r="B122" s="14" t="n"/>
    </row>
    <row r="123">
      <c r="B123" s="14" t="n"/>
    </row>
    <row r="124">
      <c r="B124" s="14" t="n"/>
    </row>
    <row r="125">
      <c r="B125" s="14" t="n"/>
    </row>
    <row r="126">
      <c r="B126" s="14" t="n"/>
    </row>
    <row r="127">
      <c r="B127" s="14" t="n"/>
    </row>
    <row r="128">
      <c r="B128" s="14" t="n"/>
    </row>
    <row r="129">
      <c r="B129" s="14" t="n"/>
    </row>
    <row r="130">
      <c r="B130" s="14" t="n"/>
    </row>
    <row r="131">
      <c r="B131" s="14" t="n"/>
    </row>
    <row r="132">
      <c r="B132" s="14" t="n"/>
    </row>
    <row r="133">
      <c r="B133" s="14" t="n"/>
    </row>
    <row r="134">
      <c r="B134" s="14" t="n"/>
    </row>
    <row r="135">
      <c r="B135" s="14" t="n"/>
    </row>
    <row r="136">
      <c r="B136" s="14" t="n"/>
    </row>
    <row r="137">
      <c r="B137" s="14" t="n"/>
    </row>
    <row r="138">
      <c r="B138" s="14" t="n"/>
    </row>
    <row r="139">
      <c r="B139" s="14" t="n"/>
    </row>
    <row r="140">
      <c r="B140" s="14" t="n"/>
    </row>
    <row r="141">
      <c r="B141" s="14" t="n"/>
    </row>
    <row r="142">
      <c r="B142" s="14" t="n"/>
    </row>
    <row r="143">
      <c r="B143" s="14" t="n"/>
    </row>
    <row r="144">
      <c r="B144" s="14" t="n"/>
    </row>
    <row r="145">
      <c r="B145" s="14" t="n"/>
    </row>
    <row r="146">
      <c r="B146" s="14" t="n"/>
    </row>
    <row r="147">
      <c r="B147" s="14" t="n"/>
    </row>
    <row r="148">
      <c r="B148" s="14" t="n"/>
    </row>
    <row r="149">
      <c r="B149" s="14" t="n"/>
    </row>
    <row r="150">
      <c r="B150" s="14" t="n"/>
    </row>
    <row r="151">
      <c r="B151" s="14" t="n"/>
    </row>
    <row r="152">
      <c r="B152" s="14" t="n"/>
    </row>
    <row r="153">
      <c r="B153" s="14" t="n"/>
    </row>
    <row r="154">
      <c r="B154" s="14" t="n"/>
    </row>
    <row r="155">
      <c r="B155" s="14" t="n"/>
    </row>
    <row r="156">
      <c r="B156" s="14" t="n"/>
    </row>
    <row r="157">
      <c r="B157" s="14" t="n"/>
    </row>
    <row r="158">
      <c r="B158" s="14" t="n"/>
    </row>
    <row r="159">
      <c r="B159" s="14" t="n"/>
    </row>
    <row r="160">
      <c r="B160" s="14" t="n"/>
    </row>
    <row r="161">
      <c r="B161" s="14" t="n"/>
    </row>
    <row r="162">
      <c r="B162" s="14" t="n"/>
    </row>
    <row r="163">
      <c r="B163" s="14" t="n"/>
    </row>
    <row r="164">
      <c r="B164" s="14" t="n"/>
    </row>
    <row r="165">
      <c r="B165" s="14" t="n"/>
    </row>
    <row r="166">
      <c r="B166" s="14" t="n"/>
    </row>
    <row r="167">
      <c r="B167" s="14" t="n"/>
    </row>
    <row r="168">
      <c r="B168" s="14" t="n"/>
    </row>
    <row r="169">
      <c r="B169" s="14" t="n"/>
    </row>
    <row r="170">
      <c r="B170" s="14" t="n"/>
    </row>
    <row r="171">
      <c r="B171" s="14" t="n"/>
    </row>
    <row r="172">
      <c r="B172" s="14" t="n"/>
    </row>
    <row r="173">
      <c r="B173" s="14" t="n"/>
    </row>
    <row r="174">
      <c r="B174" s="14" t="n"/>
    </row>
    <row r="175">
      <c r="B175" s="14" t="n"/>
    </row>
    <row r="176">
      <c r="B176" s="14" t="n"/>
    </row>
    <row r="177">
      <c r="B177" s="14" t="n"/>
    </row>
    <row r="178">
      <c r="B178" s="14" t="n"/>
    </row>
    <row r="179">
      <c r="B179" s="14" t="n"/>
    </row>
    <row r="180">
      <c r="B180" s="14" t="n"/>
    </row>
    <row r="181">
      <c r="B181" s="14" t="n"/>
    </row>
    <row r="182">
      <c r="B182" s="14" t="n"/>
    </row>
    <row r="183">
      <c r="B183" s="14" t="n"/>
    </row>
    <row r="184">
      <c r="B184" s="14" t="n"/>
    </row>
    <row r="185">
      <c r="B185" s="14" t="n"/>
    </row>
    <row r="186">
      <c r="B186" s="14" t="n"/>
    </row>
    <row r="187">
      <c r="B187" s="14" t="n"/>
    </row>
    <row r="188">
      <c r="B188" s="14" t="n"/>
    </row>
    <row r="189">
      <c r="B189" s="14" t="n"/>
    </row>
    <row r="190">
      <c r="B190" s="14" t="n"/>
    </row>
    <row r="191">
      <c r="B191" s="14" t="n"/>
    </row>
    <row r="192">
      <c r="B192" s="14" t="n"/>
    </row>
    <row r="193">
      <c r="B193" s="14" t="n"/>
    </row>
    <row r="194">
      <c r="B194" s="14" t="n"/>
    </row>
    <row r="195">
      <c r="B195" s="14" t="n"/>
    </row>
    <row r="196">
      <c r="B196" s="14" t="n"/>
    </row>
    <row r="197">
      <c r="B197" s="14" t="n"/>
    </row>
    <row r="198">
      <c r="B198" s="14" t="n"/>
    </row>
    <row r="199">
      <c r="B199" s="14" t="n"/>
    </row>
    <row r="200">
      <c r="B200" s="14" t="n"/>
    </row>
    <row r="201">
      <c r="B201" s="14" t="n"/>
    </row>
    <row r="202">
      <c r="B202" s="14" t="n"/>
    </row>
    <row r="203">
      <c r="B203" s="14" t="n"/>
    </row>
    <row r="204">
      <c r="B204" s="14" t="n"/>
    </row>
    <row r="205">
      <c r="B205" s="14" t="n"/>
    </row>
    <row r="206">
      <c r="B206" s="14" t="n"/>
    </row>
    <row r="207">
      <c r="B207" s="14" t="n"/>
    </row>
    <row r="208">
      <c r="B208" s="14" t="n"/>
    </row>
    <row r="209">
      <c r="B209" s="14" t="n"/>
    </row>
    <row r="210">
      <c r="B210" s="14" t="n"/>
    </row>
    <row r="211">
      <c r="B211" s="14" t="n"/>
    </row>
    <row r="212">
      <c r="B212" s="14" t="n"/>
    </row>
    <row r="213">
      <c r="B213" s="14" t="n"/>
    </row>
    <row r="214">
      <c r="B214" s="14" t="n"/>
    </row>
    <row r="215">
      <c r="B215" s="14" t="n"/>
    </row>
    <row r="216">
      <c r="B216" s="14" t="n"/>
    </row>
    <row r="217">
      <c r="B217" s="14" t="n"/>
    </row>
    <row r="218">
      <c r="B218" s="14" t="n"/>
    </row>
    <row r="219">
      <c r="B219" s="14" t="n"/>
    </row>
    <row r="220">
      <c r="B220" s="14" t="n"/>
    </row>
    <row r="221">
      <c r="B221" s="14" t="n"/>
    </row>
    <row r="222">
      <c r="B222" s="14" t="n"/>
    </row>
    <row r="223">
      <c r="B223" s="14" t="n"/>
    </row>
    <row r="224">
      <c r="B224" s="14" t="n"/>
    </row>
    <row r="225">
      <c r="B225" s="14" t="n"/>
    </row>
    <row r="226">
      <c r="B226" s="14" t="n"/>
    </row>
    <row r="227">
      <c r="B227" s="14" t="n"/>
    </row>
    <row r="228">
      <c r="B228" s="14" t="n"/>
    </row>
    <row r="229">
      <c r="B229" s="14" t="n"/>
    </row>
    <row r="230">
      <c r="B230" s="14" t="n"/>
    </row>
    <row r="231">
      <c r="B231" s="14" t="n"/>
    </row>
    <row r="232">
      <c r="B232" s="14" t="n"/>
    </row>
    <row r="233">
      <c r="B233" s="14" t="n"/>
    </row>
    <row r="234">
      <c r="B234" s="14" t="n"/>
    </row>
    <row r="235">
      <c r="B235" s="14" t="n"/>
    </row>
    <row r="236">
      <c r="B236" s="14" t="n"/>
    </row>
    <row r="237">
      <c r="B237" s="14" t="n"/>
    </row>
    <row r="238">
      <c r="B238" s="14" t="n"/>
    </row>
    <row r="239">
      <c r="B239" s="14" t="n"/>
    </row>
    <row r="240">
      <c r="B240" s="14" t="n"/>
    </row>
    <row r="241">
      <c r="B241" s="14" t="n"/>
    </row>
    <row r="242">
      <c r="B242" s="14" t="n"/>
    </row>
    <row r="243">
      <c r="B243" s="14" t="n"/>
    </row>
    <row r="244">
      <c r="B244" s="14" t="n"/>
    </row>
    <row r="245">
      <c r="B245" s="14" t="n"/>
    </row>
    <row r="246">
      <c r="B246" s="14" t="n"/>
    </row>
    <row r="247">
      <c r="B247" s="14" t="n"/>
    </row>
    <row r="248">
      <c r="B248" s="14" t="n"/>
    </row>
    <row r="249">
      <c r="B249" s="14" t="n"/>
    </row>
    <row r="250">
      <c r="B250" s="14" t="n"/>
    </row>
    <row r="251">
      <c r="B251" s="14" t="n"/>
    </row>
    <row r="252">
      <c r="B252" s="14" t="n"/>
    </row>
    <row r="253">
      <c r="B253" s="14" t="n"/>
    </row>
    <row r="254">
      <c r="B254" s="14" t="n"/>
    </row>
    <row r="255">
      <c r="B255" s="14" t="n"/>
    </row>
    <row r="256">
      <c r="B256" s="14" t="n"/>
    </row>
    <row r="257">
      <c r="B257" s="14" t="n"/>
    </row>
    <row r="258">
      <c r="B258" s="14" t="n"/>
    </row>
    <row r="259">
      <c r="B259" s="14" t="n"/>
    </row>
    <row r="260">
      <c r="B260" s="14" t="n"/>
    </row>
    <row r="261">
      <c r="B261" s="14" t="n"/>
    </row>
    <row r="262">
      <c r="B262" s="14" t="n"/>
    </row>
    <row r="263">
      <c r="B263" s="14" t="n"/>
    </row>
    <row r="264">
      <c r="B264" s="14" t="n"/>
    </row>
    <row r="265">
      <c r="B265" s="14" t="n"/>
    </row>
    <row r="266">
      <c r="B266" s="14" t="n"/>
    </row>
    <row r="267">
      <c r="B267" s="14" t="n"/>
    </row>
    <row r="268">
      <c r="B268" s="14" t="n"/>
    </row>
    <row r="269">
      <c r="B269" s="14" t="n"/>
    </row>
    <row r="270">
      <c r="B270" s="14" t="n"/>
    </row>
    <row r="271">
      <c r="B271" s="14" t="n"/>
    </row>
    <row r="272">
      <c r="B272" s="14" t="n"/>
    </row>
    <row r="273">
      <c r="B273" s="14" t="n"/>
    </row>
    <row r="274">
      <c r="B274" s="14" t="n"/>
    </row>
    <row r="275">
      <c r="B275" s="14" t="n"/>
    </row>
    <row r="276">
      <c r="B276" s="14" t="n"/>
    </row>
    <row r="277">
      <c r="B277" s="14" t="n"/>
    </row>
    <row r="278">
      <c r="B278" s="14" t="n"/>
    </row>
    <row r="279">
      <c r="B279" s="14" t="n"/>
    </row>
    <row r="280">
      <c r="B280" s="14" t="n"/>
    </row>
    <row r="281">
      <c r="B281" s="14" t="n"/>
    </row>
    <row r="282">
      <c r="B282" s="14" t="n"/>
    </row>
    <row r="283">
      <c r="B283" s="14" t="n"/>
    </row>
    <row r="284">
      <c r="B284" s="14" t="n"/>
    </row>
    <row r="285">
      <c r="B285" s="14" t="n"/>
    </row>
    <row r="286">
      <c r="B286" s="14" t="n"/>
    </row>
    <row r="287">
      <c r="B287" s="14" t="n"/>
    </row>
    <row r="288">
      <c r="B288" s="14" t="n"/>
    </row>
    <row r="289">
      <c r="B289" s="14" t="n"/>
    </row>
    <row r="290">
      <c r="B290" s="14" t="n"/>
    </row>
    <row r="291">
      <c r="B291" s="14" t="n"/>
    </row>
    <row r="292">
      <c r="B292" s="14" t="n"/>
    </row>
    <row r="293">
      <c r="B293" s="14" t="n"/>
    </row>
    <row r="294">
      <c r="B294" s="14" t="n"/>
    </row>
    <row r="295">
      <c r="B295" s="14" t="n"/>
    </row>
    <row r="296">
      <c r="B296" s="14" t="n"/>
    </row>
    <row r="297">
      <c r="B297" s="14" t="n"/>
    </row>
    <row r="298">
      <c r="B298" s="14" t="n"/>
    </row>
    <row r="299">
      <c r="B299" s="14" t="n"/>
    </row>
    <row r="300">
      <c r="B300" s="14" t="n"/>
    </row>
    <row r="301">
      <c r="B301" s="14" t="n"/>
    </row>
    <row r="302">
      <c r="B302" s="14" t="n"/>
    </row>
    <row r="303">
      <c r="B303" s="14" t="n"/>
    </row>
    <row r="304">
      <c r="B304" s="14" t="n"/>
    </row>
    <row r="305">
      <c r="B305" s="14" t="n"/>
    </row>
    <row r="306">
      <c r="B306" s="14" t="n"/>
    </row>
    <row r="307">
      <c r="B307" s="14" t="n"/>
    </row>
    <row r="308">
      <c r="B308" s="14" t="n"/>
    </row>
    <row r="309">
      <c r="B309" s="14" t="n"/>
    </row>
    <row r="310">
      <c r="B310" s="14" t="n"/>
    </row>
    <row r="311">
      <c r="B311" s="14" t="n"/>
    </row>
    <row r="312">
      <c r="B312" s="14" t="n"/>
    </row>
    <row r="313">
      <c r="B313" s="14" t="n"/>
    </row>
    <row r="314">
      <c r="B314" s="14" t="n"/>
    </row>
    <row r="315">
      <c r="B315" s="14" t="n"/>
    </row>
    <row r="316">
      <c r="B316" s="14" t="n"/>
    </row>
    <row r="317">
      <c r="B317" s="14" t="n"/>
    </row>
    <row r="318">
      <c r="B318" s="14" t="n"/>
    </row>
    <row r="319">
      <c r="B319" s="14" t="n"/>
    </row>
    <row r="320">
      <c r="B320" s="14" t="n"/>
    </row>
    <row r="321">
      <c r="B321" s="14" t="n"/>
    </row>
    <row r="322">
      <c r="B322" s="14" t="n"/>
    </row>
    <row r="323">
      <c r="B323" s="14" t="n"/>
    </row>
    <row r="324">
      <c r="B324" s="14" t="n"/>
    </row>
    <row r="325">
      <c r="B325" s="14" t="n"/>
    </row>
    <row r="326">
      <c r="B326" s="14" t="n"/>
    </row>
    <row r="327">
      <c r="B327" s="14" t="n"/>
    </row>
    <row r="328">
      <c r="B328" s="14" t="n"/>
    </row>
    <row r="329">
      <c r="B329" s="14" t="n"/>
    </row>
    <row r="330">
      <c r="B330" s="14" t="n"/>
    </row>
    <row r="331">
      <c r="B331" s="14" t="n"/>
    </row>
    <row r="332">
      <c r="B332" s="14" t="n"/>
    </row>
    <row r="333">
      <c r="B333" s="14" t="n"/>
    </row>
    <row r="334">
      <c r="B334" s="14" t="n"/>
    </row>
    <row r="335">
      <c r="B335" s="14" t="n"/>
    </row>
    <row r="336">
      <c r="B336" s="14" t="n"/>
    </row>
    <row r="337">
      <c r="B337" s="14" t="n"/>
    </row>
    <row r="338">
      <c r="B338" s="14" t="n"/>
    </row>
    <row r="339">
      <c r="B339" s="14" t="n"/>
    </row>
    <row r="340">
      <c r="B340" s="14" t="n"/>
    </row>
    <row r="341">
      <c r="B341" s="14" t="n"/>
    </row>
    <row r="342">
      <c r="B342" s="14" t="n"/>
    </row>
    <row r="343">
      <c r="B343" s="14" t="n"/>
    </row>
    <row r="344">
      <c r="B344" s="14" t="n"/>
    </row>
    <row r="345">
      <c r="B345" s="14" t="n"/>
    </row>
    <row r="346">
      <c r="B346" s="14" t="n"/>
    </row>
    <row r="347">
      <c r="B347" s="14" t="n"/>
    </row>
    <row r="348">
      <c r="B348" s="14" t="n"/>
    </row>
    <row r="349">
      <c r="B349" s="14" t="n"/>
    </row>
    <row r="350">
      <c r="B350" s="14" t="n"/>
    </row>
    <row r="351">
      <c r="B351" s="14" t="n"/>
    </row>
    <row r="352">
      <c r="B352" s="14" t="n"/>
    </row>
    <row r="353">
      <c r="B353" s="14" t="n"/>
    </row>
    <row r="354">
      <c r="B354" s="14" t="n"/>
    </row>
    <row r="355">
      <c r="B355" s="14" t="n"/>
    </row>
    <row r="356">
      <c r="B356" s="14" t="n"/>
    </row>
    <row r="357">
      <c r="B357" s="14" t="n"/>
    </row>
    <row r="358">
      <c r="B358" s="14" t="n"/>
    </row>
    <row r="359">
      <c r="B359" s="14" t="n"/>
    </row>
    <row r="360">
      <c r="B360" s="14" t="n"/>
    </row>
    <row r="361">
      <c r="B361" s="14" t="n"/>
    </row>
    <row r="362">
      <c r="B362" s="14" t="n"/>
    </row>
    <row r="363">
      <c r="B363" s="14" t="n"/>
    </row>
    <row r="364">
      <c r="B364" s="14" t="n"/>
    </row>
    <row r="365">
      <c r="B365" s="14" t="n"/>
    </row>
    <row r="366">
      <c r="B366" s="14" t="n"/>
    </row>
    <row r="367">
      <c r="B367" s="14" t="n"/>
    </row>
    <row r="368">
      <c r="B368" s="14" t="n"/>
    </row>
    <row r="369">
      <c r="B369" s="14" t="n"/>
    </row>
    <row r="370">
      <c r="B370" s="14" t="n"/>
    </row>
    <row r="371">
      <c r="B371" s="14" t="n"/>
    </row>
    <row r="372">
      <c r="B372" s="14" t="n"/>
    </row>
    <row r="373">
      <c r="B373" s="14" t="n"/>
    </row>
    <row r="374">
      <c r="B374" s="14" t="n"/>
    </row>
    <row r="375">
      <c r="B375" s="14" t="n"/>
    </row>
    <row r="376">
      <c r="B376" s="14" t="n"/>
    </row>
    <row r="377">
      <c r="B377" s="14" t="n"/>
    </row>
    <row r="378">
      <c r="B378" s="14" t="n"/>
    </row>
    <row r="379">
      <c r="B379" s="14" t="n"/>
    </row>
    <row r="380">
      <c r="B380" s="14" t="n"/>
    </row>
    <row r="381">
      <c r="B381" s="14" t="n"/>
    </row>
    <row r="382">
      <c r="B382" s="14" t="n"/>
    </row>
    <row r="383">
      <c r="B383" s="14" t="n"/>
    </row>
    <row r="384">
      <c r="B384" s="14" t="n"/>
    </row>
    <row r="385">
      <c r="B385" s="14" t="n"/>
    </row>
    <row r="386">
      <c r="B386" s="14" t="n"/>
    </row>
    <row r="387">
      <c r="B387" s="14" t="n"/>
    </row>
    <row r="388">
      <c r="B388" s="14" t="n"/>
    </row>
    <row r="389">
      <c r="B389" s="14" t="n"/>
    </row>
    <row r="390">
      <c r="B390" s="14" t="n"/>
    </row>
    <row r="391">
      <c r="B391" s="14" t="n"/>
    </row>
    <row r="392">
      <c r="B392" s="14" t="n"/>
    </row>
    <row r="393">
      <c r="B393" s="14" t="n"/>
    </row>
    <row r="394">
      <c r="B394" s="14" t="n"/>
    </row>
    <row r="395">
      <c r="B395" s="14" t="n"/>
    </row>
    <row r="396">
      <c r="B396" s="14" t="n"/>
    </row>
    <row r="397">
      <c r="B397" s="14" t="n"/>
    </row>
    <row r="398">
      <c r="B398" s="14" t="n"/>
    </row>
    <row r="399">
      <c r="B399" s="14" t="n"/>
    </row>
    <row r="400">
      <c r="B400" s="14" t="n"/>
    </row>
    <row r="401">
      <c r="B401" s="14" t="n"/>
    </row>
    <row r="402">
      <c r="B402" s="14" t="n"/>
    </row>
    <row r="403">
      <c r="B403" s="14" t="n"/>
    </row>
    <row r="404">
      <c r="B404" s="14" t="n"/>
    </row>
    <row r="405">
      <c r="B405" s="14" t="n"/>
    </row>
    <row r="406">
      <c r="B406" s="14" t="n"/>
    </row>
    <row r="407">
      <c r="B407" s="14" t="n"/>
    </row>
    <row r="408">
      <c r="B408" s="14" t="n"/>
    </row>
    <row r="409">
      <c r="B409" s="14" t="n"/>
    </row>
    <row r="410">
      <c r="B410" s="14" t="n"/>
    </row>
    <row r="411">
      <c r="B411" s="14" t="n"/>
    </row>
    <row r="412">
      <c r="B412" s="14" t="n"/>
    </row>
    <row r="413">
      <c r="B413" s="14" t="n"/>
    </row>
    <row r="414">
      <c r="B414" s="14" t="n"/>
    </row>
    <row r="415">
      <c r="B415" s="14" t="n"/>
    </row>
    <row r="416">
      <c r="B416" s="14" t="n"/>
    </row>
    <row r="417">
      <c r="B417" s="14" t="n"/>
    </row>
    <row r="418">
      <c r="B418" s="14" t="n"/>
    </row>
    <row r="419">
      <c r="B419" s="14" t="n"/>
    </row>
    <row r="420">
      <c r="B420" s="14" t="n"/>
    </row>
    <row r="421">
      <c r="B421" s="14" t="n"/>
    </row>
    <row r="422">
      <c r="B422" s="14" t="n"/>
    </row>
    <row r="423">
      <c r="B423" s="14" t="n"/>
    </row>
    <row r="424">
      <c r="B424" s="14" t="n"/>
    </row>
    <row r="425">
      <c r="B425" s="14" t="n"/>
    </row>
    <row r="426">
      <c r="B426" s="14" t="n"/>
    </row>
    <row r="427">
      <c r="B427" s="14" t="n"/>
    </row>
    <row r="428">
      <c r="B428" s="14" t="n"/>
    </row>
    <row r="429">
      <c r="B429" s="14" t="n"/>
    </row>
    <row r="430">
      <c r="B430" s="14" t="n"/>
    </row>
    <row r="431">
      <c r="B431" s="14" t="n"/>
    </row>
    <row r="432">
      <c r="B432" s="14" t="n"/>
    </row>
    <row r="433">
      <c r="B433" s="14" t="n"/>
    </row>
    <row r="434">
      <c r="B434" s="14" t="n"/>
    </row>
    <row r="435">
      <c r="B435" s="14" t="n"/>
    </row>
    <row r="436">
      <c r="B436" s="14" t="n"/>
    </row>
    <row r="437">
      <c r="B437" s="14" t="n"/>
    </row>
    <row r="438">
      <c r="B438" s="14" t="n"/>
    </row>
    <row r="439">
      <c r="B439" s="14" t="n"/>
    </row>
    <row r="440">
      <c r="B440" s="14" t="n"/>
    </row>
    <row r="441">
      <c r="B441" s="14" t="n"/>
    </row>
    <row r="442">
      <c r="B442" s="14" t="n"/>
    </row>
    <row r="443">
      <c r="B443" s="14" t="n"/>
    </row>
    <row r="444">
      <c r="B444" s="14" t="n"/>
    </row>
    <row r="445">
      <c r="B445" s="14" t="n"/>
    </row>
    <row r="446">
      <c r="B446" s="14" t="n"/>
    </row>
    <row r="447">
      <c r="B447" s="14" t="n"/>
    </row>
    <row r="448">
      <c r="B448" s="14" t="n"/>
    </row>
    <row r="449">
      <c r="B449" s="14" t="n"/>
    </row>
    <row r="450">
      <c r="B450" s="14" t="n"/>
    </row>
    <row r="451">
      <c r="B451" s="14" t="n"/>
    </row>
    <row r="452">
      <c r="B452" s="14" t="n"/>
    </row>
    <row r="453">
      <c r="B453" s="14" t="n"/>
    </row>
    <row r="454">
      <c r="B454" s="14" t="n"/>
    </row>
    <row r="455">
      <c r="B455" s="14" t="n"/>
    </row>
    <row r="456">
      <c r="B456" s="14" t="n"/>
    </row>
    <row r="457">
      <c r="B457" s="14" t="n"/>
    </row>
    <row r="458">
      <c r="B458" s="14" t="n"/>
    </row>
    <row r="459">
      <c r="B459" s="14" t="n"/>
    </row>
    <row r="460">
      <c r="B460" s="14" t="n"/>
    </row>
    <row r="461">
      <c r="B461" s="14" t="n"/>
    </row>
    <row r="462">
      <c r="B462" s="14" t="n"/>
    </row>
    <row r="463">
      <c r="B463" s="14" t="n"/>
    </row>
    <row r="464">
      <c r="B464" s="14" t="n"/>
    </row>
    <row r="465">
      <c r="B465" s="14" t="n"/>
    </row>
    <row r="466">
      <c r="B466" s="14" t="n"/>
    </row>
    <row r="467">
      <c r="B467" s="14" t="n"/>
    </row>
    <row r="468">
      <c r="B468" s="14" t="n"/>
    </row>
    <row r="469">
      <c r="B469" s="14" t="n"/>
    </row>
    <row r="470">
      <c r="B470" s="14" t="n"/>
    </row>
    <row r="471">
      <c r="B471" s="14" t="n"/>
    </row>
    <row r="472">
      <c r="B472" s="14" t="n"/>
    </row>
    <row r="473">
      <c r="B473" s="14" t="n"/>
    </row>
    <row r="474">
      <c r="B474" s="14" t="n"/>
    </row>
    <row r="475">
      <c r="B475" s="14" t="n"/>
    </row>
    <row r="476">
      <c r="B476" s="14" t="n"/>
    </row>
    <row r="477">
      <c r="B477" s="14" t="n"/>
    </row>
    <row r="478">
      <c r="B478" s="14" t="n"/>
    </row>
    <row r="479">
      <c r="B479" s="14" t="n"/>
    </row>
    <row r="480">
      <c r="B480" s="14" t="n"/>
    </row>
    <row r="481">
      <c r="B481" s="14" t="n"/>
    </row>
    <row r="482">
      <c r="B482" s="14" t="n"/>
    </row>
    <row r="483">
      <c r="B483" s="14" t="n"/>
    </row>
    <row r="484">
      <c r="B484" s="14" t="n"/>
    </row>
    <row r="485">
      <c r="B485" s="14" t="n"/>
    </row>
    <row r="486">
      <c r="B486" s="14" t="n"/>
    </row>
    <row r="487">
      <c r="B487" s="14" t="n"/>
    </row>
    <row r="488">
      <c r="B488" s="14" t="n"/>
    </row>
    <row r="489">
      <c r="B489" s="14" t="n"/>
    </row>
    <row r="490">
      <c r="B490" s="14" t="n"/>
    </row>
    <row r="491">
      <c r="B491" s="14" t="n"/>
    </row>
    <row r="492">
      <c r="B492" s="14" t="n"/>
    </row>
    <row r="493">
      <c r="B493" s="14" t="n"/>
    </row>
    <row r="494">
      <c r="B494" s="14" t="n"/>
    </row>
    <row r="495">
      <c r="B495" s="14" t="n"/>
    </row>
    <row r="496">
      <c r="B496" s="14" t="n"/>
    </row>
    <row r="497">
      <c r="B497" s="14" t="n"/>
    </row>
    <row r="498">
      <c r="B498" s="14" t="n"/>
    </row>
    <row r="499">
      <c r="B499" s="14" t="n"/>
    </row>
    <row r="500">
      <c r="B500" s="14" t="n"/>
    </row>
    <row r="501">
      <c r="B501" s="14" t="n"/>
    </row>
    <row r="502">
      <c r="B502" s="14" t="n"/>
    </row>
    <row r="503">
      <c r="B503" s="14" t="n"/>
    </row>
    <row r="504">
      <c r="B504" s="14" t="n"/>
    </row>
    <row r="505">
      <c r="B505" s="14" t="n"/>
    </row>
    <row r="506">
      <c r="B506" s="14" t="n"/>
    </row>
    <row r="507">
      <c r="B507" s="14" t="n"/>
    </row>
    <row r="508">
      <c r="B508" s="14" t="n"/>
    </row>
    <row r="509">
      <c r="B509" s="14" t="n"/>
    </row>
    <row r="510">
      <c r="B510" s="14" t="n"/>
    </row>
    <row r="511">
      <c r="B511" s="14" t="n"/>
    </row>
    <row r="512">
      <c r="B512" s="14" t="n"/>
    </row>
    <row r="513">
      <c r="B513" s="14" t="n"/>
    </row>
    <row r="514">
      <c r="B514" s="14" t="n"/>
    </row>
    <row r="515">
      <c r="B515" s="14" t="n"/>
    </row>
    <row r="516">
      <c r="B516" s="14" t="n"/>
    </row>
    <row r="517">
      <c r="B517" s="14" t="n"/>
    </row>
    <row r="518">
      <c r="B518" s="14" t="n"/>
    </row>
    <row r="519">
      <c r="B519" s="14" t="n"/>
    </row>
    <row r="520">
      <c r="B520" s="14" t="n"/>
    </row>
    <row r="521">
      <c r="B521" s="14" t="n"/>
    </row>
    <row r="522">
      <c r="B522" s="14" t="n"/>
    </row>
    <row r="523">
      <c r="B523" s="14" t="n"/>
    </row>
    <row r="524">
      <c r="B524" s="14" t="n"/>
    </row>
    <row r="525">
      <c r="B525" s="14" t="n"/>
    </row>
    <row r="526">
      <c r="B526" s="14" t="n"/>
    </row>
    <row r="527">
      <c r="B527" s="14" t="n"/>
    </row>
    <row r="528">
      <c r="B528" s="14" t="n"/>
    </row>
    <row r="529">
      <c r="B529" s="14" t="n"/>
    </row>
    <row r="530">
      <c r="B530" s="14" t="n"/>
    </row>
    <row r="531">
      <c r="B531" s="14" t="n"/>
    </row>
    <row r="532">
      <c r="B532" s="14" t="n"/>
    </row>
    <row r="533">
      <c r="B533" s="14" t="n"/>
    </row>
    <row r="534">
      <c r="B534" s="14" t="n"/>
    </row>
    <row r="535">
      <c r="B535" s="14" t="n"/>
    </row>
    <row r="536">
      <c r="B536" s="14" t="n"/>
    </row>
    <row r="537">
      <c r="B537" s="14" t="n"/>
    </row>
    <row r="538">
      <c r="B538" s="14" t="n"/>
    </row>
    <row r="539">
      <c r="B539" s="14" t="n"/>
    </row>
    <row r="540">
      <c r="B540" s="14" t="n"/>
    </row>
    <row r="541">
      <c r="B541" s="14" t="n"/>
    </row>
    <row r="542">
      <c r="B542" s="14" t="n"/>
    </row>
    <row r="543">
      <c r="B543" s="14" t="n"/>
    </row>
    <row r="544">
      <c r="B544" s="14" t="n"/>
    </row>
    <row r="545">
      <c r="B545" s="14" t="n"/>
    </row>
    <row r="546">
      <c r="B546" s="14" t="n"/>
    </row>
    <row r="547">
      <c r="B547" s="14" t="n"/>
    </row>
    <row r="548">
      <c r="B548" s="14" t="n"/>
    </row>
    <row r="549">
      <c r="B549" s="14" t="n"/>
    </row>
    <row r="550">
      <c r="B550" s="14" t="n"/>
    </row>
    <row r="551">
      <c r="B551" s="14" t="n"/>
    </row>
    <row r="552">
      <c r="B552" s="14" t="n"/>
    </row>
    <row r="553">
      <c r="B553" s="14" t="n"/>
    </row>
    <row r="554">
      <c r="B554" s="14" t="n"/>
    </row>
    <row r="555">
      <c r="B555" s="14" t="n"/>
    </row>
    <row r="556">
      <c r="B556" s="14" t="n"/>
    </row>
    <row r="557">
      <c r="B557" s="14" t="n"/>
    </row>
    <row r="558">
      <c r="B558" s="14" t="n"/>
    </row>
    <row r="559">
      <c r="B559" s="14" t="n"/>
    </row>
    <row r="560">
      <c r="B560" s="14" t="n"/>
    </row>
    <row r="561">
      <c r="B561" s="14" t="n"/>
    </row>
    <row r="562">
      <c r="B562" s="14" t="n"/>
    </row>
    <row r="563">
      <c r="B563" s="14" t="n"/>
    </row>
    <row r="564">
      <c r="B564" s="14" t="n"/>
    </row>
    <row r="565">
      <c r="B565" s="14" t="n"/>
    </row>
    <row r="566">
      <c r="B566" s="14" t="n"/>
    </row>
    <row r="567">
      <c r="B567" s="14" t="n"/>
    </row>
    <row r="568">
      <c r="B568" s="14" t="n"/>
    </row>
    <row r="569">
      <c r="B569" s="14" t="n"/>
    </row>
    <row r="570">
      <c r="B570" s="14" t="n"/>
    </row>
    <row r="571">
      <c r="B571" s="14" t="n"/>
    </row>
    <row r="572">
      <c r="B572" s="14" t="n"/>
    </row>
    <row r="573">
      <c r="B573" s="14" t="n"/>
    </row>
    <row r="574">
      <c r="B574" s="14" t="n"/>
    </row>
    <row r="575">
      <c r="B575" s="14" t="n"/>
    </row>
    <row r="576">
      <c r="B576" s="14" t="n"/>
    </row>
    <row r="577">
      <c r="B577" s="14" t="n"/>
    </row>
    <row r="578">
      <c r="B578" s="14" t="n"/>
    </row>
    <row r="579">
      <c r="B579" s="14" t="n"/>
    </row>
    <row r="580">
      <c r="B580" s="14" t="n"/>
    </row>
    <row r="581">
      <c r="B581" s="14" t="n"/>
    </row>
    <row r="582">
      <c r="B582" s="14" t="n"/>
    </row>
    <row r="583">
      <c r="B583" s="14" t="n"/>
    </row>
    <row r="584">
      <c r="B584" s="14" t="n"/>
    </row>
    <row r="585">
      <c r="B585" s="14" t="n"/>
    </row>
    <row r="586">
      <c r="B586" s="14" t="n"/>
    </row>
    <row r="587">
      <c r="B587" s="14" t="n"/>
    </row>
    <row r="588">
      <c r="B588" s="14" t="n"/>
    </row>
    <row r="589">
      <c r="B589" s="14" t="n"/>
    </row>
    <row r="590">
      <c r="B590" s="14" t="n"/>
    </row>
    <row r="591">
      <c r="B591" s="14" t="n"/>
    </row>
    <row r="592">
      <c r="B592" s="14" t="n"/>
    </row>
    <row r="593">
      <c r="B593" s="14" t="n"/>
    </row>
    <row r="594">
      <c r="B594" s="14" t="n"/>
    </row>
    <row r="595">
      <c r="B595" s="14" t="n"/>
    </row>
    <row r="596">
      <c r="B596" s="14" t="n"/>
    </row>
    <row r="597">
      <c r="B597" s="14" t="n"/>
    </row>
    <row r="598">
      <c r="B598" s="14" t="n"/>
    </row>
    <row r="599">
      <c r="B599" s="14" t="n"/>
    </row>
    <row r="600">
      <c r="B600" s="14" t="n"/>
    </row>
    <row r="601">
      <c r="B601" s="14" t="n"/>
    </row>
    <row r="602">
      <c r="B602" s="14" t="n"/>
    </row>
    <row r="603">
      <c r="B603" s="14" t="n"/>
    </row>
    <row r="604">
      <c r="B604" s="14" t="n"/>
    </row>
    <row r="605">
      <c r="B605" s="14" t="n"/>
    </row>
    <row r="606">
      <c r="B606" s="14" t="n"/>
    </row>
    <row r="607">
      <c r="B607" s="14" t="n"/>
    </row>
    <row r="608">
      <c r="B608" s="14" t="n"/>
    </row>
    <row r="609">
      <c r="B609" s="14" t="n"/>
    </row>
    <row r="610">
      <c r="B610" s="14" t="n"/>
    </row>
    <row r="611">
      <c r="B611" s="14" t="n"/>
    </row>
    <row r="612">
      <c r="B612" s="14" t="n"/>
    </row>
    <row r="613">
      <c r="B613" s="14" t="n"/>
    </row>
    <row r="614">
      <c r="B614" s="14" t="n"/>
    </row>
    <row r="615">
      <c r="B615" s="14" t="n"/>
    </row>
    <row r="616">
      <c r="B616" s="14" t="n"/>
    </row>
    <row r="617">
      <c r="B617" s="14" t="n"/>
    </row>
    <row r="618">
      <c r="B618" s="14" t="n"/>
    </row>
    <row r="619">
      <c r="B619" s="14" t="n"/>
    </row>
    <row r="620">
      <c r="B620" s="14" t="n"/>
    </row>
    <row r="621">
      <c r="B621" s="14" t="n"/>
    </row>
    <row r="622">
      <c r="B622" s="14" t="n"/>
    </row>
    <row r="623">
      <c r="B623" s="14" t="n"/>
    </row>
    <row r="624">
      <c r="B624" s="14" t="n"/>
    </row>
    <row r="625">
      <c r="B625" s="14" t="n"/>
    </row>
    <row r="626">
      <c r="B626" s="14" t="n"/>
    </row>
    <row r="627">
      <c r="B627" s="14" t="n"/>
    </row>
    <row r="628">
      <c r="B628" s="14" t="n"/>
    </row>
    <row r="629">
      <c r="B629" s="14" t="n"/>
    </row>
    <row r="630">
      <c r="B630" s="14" t="n"/>
    </row>
    <row r="631">
      <c r="B631" s="14" t="n"/>
    </row>
    <row r="632">
      <c r="B632" s="14" t="n"/>
    </row>
    <row r="633">
      <c r="B633" s="14" t="n"/>
    </row>
    <row r="634">
      <c r="B634" s="14" t="n"/>
    </row>
    <row r="635">
      <c r="B635" s="14" t="n"/>
    </row>
    <row r="636">
      <c r="B636" s="14" t="n"/>
    </row>
    <row r="637">
      <c r="B637" s="14" t="n"/>
    </row>
    <row r="638">
      <c r="B638" s="14" t="n"/>
    </row>
    <row r="639">
      <c r="B639" s="14" t="n"/>
    </row>
    <row r="640">
      <c r="B640" s="14" t="n"/>
    </row>
    <row r="641">
      <c r="B641" s="14" t="n"/>
    </row>
    <row r="642">
      <c r="B642" s="14" t="n"/>
    </row>
    <row r="643">
      <c r="B643" s="14" t="n"/>
    </row>
    <row r="644">
      <c r="B644" s="14" t="n"/>
    </row>
    <row r="645">
      <c r="B645" s="14" t="n"/>
    </row>
    <row r="646">
      <c r="B646" s="14" t="n"/>
    </row>
    <row r="647">
      <c r="B647" s="14" t="n"/>
    </row>
    <row r="648">
      <c r="B648" s="14" t="n"/>
    </row>
    <row r="649">
      <c r="B649" s="14" t="n"/>
    </row>
    <row r="650">
      <c r="B650" s="14" t="n"/>
    </row>
    <row r="651">
      <c r="B651" s="14" t="n"/>
    </row>
    <row r="652">
      <c r="B652" s="14" t="n"/>
    </row>
    <row r="653">
      <c r="B653" s="14" t="n"/>
    </row>
    <row r="654">
      <c r="B654" s="14" t="n"/>
    </row>
    <row r="655">
      <c r="B655" s="14" t="n"/>
    </row>
    <row r="656">
      <c r="B656" s="14" t="n"/>
    </row>
    <row r="657">
      <c r="B657" s="14" t="n"/>
    </row>
    <row r="658">
      <c r="B658" s="14" t="n"/>
    </row>
    <row r="659">
      <c r="B659" s="14" t="n"/>
    </row>
    <row r="660">
      <c r="B660" s="14" t="n"/>
    </row>
    <row r="661">
      <c r="B661" s="14" t="n"/>
    </row>
    <row r="662">
      <c r="B662" s="14" t="n"/>
    </row>
    <row r="663">
      <c r="B663" s="14" t="n"/>
    </row>
    <row r="664">
      <c r="B664" s="14" t="n"/>
    </row>
    <row r="665">
      <c r="B665" s="14" t="n"/>
    </row>
    <row r="666">
      <c r="B666" s="14" t="n"/>
    </row>
    <row r="667">
      <c r="B667" s="14" t="n"/>
    </row>
    <row r="668">
      <c r="B668" s="14" t="n"/>
    </row>
    <row r="669">
      <c r="B669" s="14" t="n"/>
    </row>
    <row r="670">
      <c r="B670" s="14" t="n"/>
    </row>
    <row r="671">
      <c r="B671" s="14" t="n"/>
    </row>
    <row r="672">
      <c r="B672" s="14" t="n"/>
    </row>
    <row r="673">
      <c r="B673" s="14" t="n"/>
    </row>
    <row r="674">
      <c r="B674" s="14" t="n"/>
    </row>
    <row r="675">
      <c r="B675" s="14" t="n"/>
    </row>
    <row r="676">
      <c r="B676" s="14" t="n"/>
    </row>
    <row r="677">
      <c r="B677" s="14" t="n"/>
    </row>
    <row r="678">
      <c r="B678" s="14" t="n"/>
    </row>
    <row r="679">
      <c r="B679" s="14" t="n"/>
    </row>
    <row r="680">
      <c r="B680" s="14" t="n"/>
    </row>
    <row r="681">
      <c r="B681" s="14" t="n"/>
    </row>
    <row r="682">
      <c r="B682" s="14" t="n"/>
    </row>
    <row r="683">
      <c r="B683" s="14" t="n"/>
    </row>
    <row r="684">
      <c r="B684" s="14" t="n"/>
    </row>
    <row r="685">
      <c r="B685" s="14" t="n"/>
    </row>
    <row r="686">
      <c r="B686" s="14" t="n"/>
    </row>
    <row r="687">
      <c r="B687" s="14" t="n"/>
    </row>
    <row r="688">
      <c r="B688" s="14" t="n"/>
    </row>
    <row r="689">
      <c r="B689" s="14" t="n"/>
    </row>
    <row r="690">
      <c r="B690" s="14" t="n"/>
    </row>
    <row r="691">
      <c r="B691" s="14" t="n"/>
    </row>
    <row r="692">
      <c r="B692" s="14" t="n"/>
    </row>
    <row r="693">
      <c r="B693" s="14" t="n"/>
    </row>
    <row r="694">
      <c r="B694" s="14" t="n"/>
    </row>
    <row r="695">
      <c r="B695" s="14" t="n"/>
    </row>
    <row r="696">
      <c r="B696" s="14" t="n"/>
    </row>
    <row r="697">
      <c r="B697" s="14" t="n"/>
    </row>
    <row r="698">
      <c r="B698" s="14" t="n"/>
    </row>
    <row r="699">
      <c r="B699" s="14" t="n"/>
    </row>
    <row r="700">
      <c r="B700" s="14" t="n"/>
    </row>
    <row r="701">
      <c r="B701" s="14" t="n"/>
    </row>
    <row r="702">
      <c r="B702" s="14" t="n"/>
    </row>
    <row r="703">
      <c r="B703" s="14" t="n"/>
    </row>
    <row r="704">
      <c r="B704" s="14" t="n"/>
    </row>
    <row r="705">
      <c r="B705" s="14" t="n"/>
    </row>
    <row r="706">
      <c r="B706" s="14" t="n"/>
    </row>
    <row r="707">
      <c r="B707" s="14" t="n"/>
    </row>
    <row r="708">
      <c r="B708" s="14" t="n"/>
    </row>
    <row r="709">
      <c r="B709" s="14" t="n"/>
    </row>
    <row r="710">
      <c r="B710" s="14" t="n"/>
    </row>
    <row r="711">
      <c r="B711" s="14" t="n"/>
    </row>
    <row r="712">
      <c r="B712" s="14" t="n"/>
    </row>
    <row r="713">
      <c r="B713" s="14" t="n"/>
    </row>
    <row r="714">
      <c r="B714" s="14" t="n"/>
    </row>
    <row r="715">
      <c r="B715" s="14" t="n"/>
    </row>
    <row r="716">
      <c r="B716" s="14" t="n"/>
    </row>
    <row r="717">
      <c r="B717" s="14" t="n"/>
    </row>
    <row r="718">
      <c r="B718" s="14" t="n"/>
    </row>
    <row r="719">
      <c r="B719" s="14" t="n"/>
    </row>
    <row r="720">
      <c r="B720" s="14" t="n"/>
    </row>
    <row r="721">
      <c r="B721" s="14" t="n"/>
    </row>
    <row r="722">
      <c r="B722" s="14" t="n"/>
    </row>
    <row r="723">
      <c r="B723" s="14" t="n"/>
    </row>
    <row r="724">
      <c r="B724" s="14" t="n"/>
    </row>
    <row r="725">
      <c r="B725" s="14" t="n"/>
    </row>
    <row r="726">
      <c r="B726" s="14" t="n"/>
    </row>
    <row r="727">
      <c r="B727" s="14" t="n"/>
    </row>
    <row r="728">
      <c r="B728" s="14" t="n"/>
    </row>
    <row r="729">
      <c r="B729" s="14" t="n"/>
    </row>
    <row r="730">
      <c r="B730" s="14" t="n"/>
    </row>
    <row r="731">
      <c r="B731" s="14" t="n"/>
    </row>
    <row r="732">
      <c r="B732" s="14" t="n"/>
    </row>
    <row r="733">
      <c r="B733" s="14" t="n"/>
    </row>
    <row r="734">
      <c r="B734" s="14" t="n"/>
    </row>
    <row r="735">
      <c r="B735" s="14" t="n"/>
    </row>
    <row r="736">
      <c r="B736" s="14" t="n"/>
    </row>
    <row r="737">
      <c r="B737" s="14" t="n"/>
    </row>
    <row r="738">
      <c r="B738" s="14" t="n"/>
    </row>
    <row r="739">
      <c r="B739" s="14" t="n"/>
    </row>
    <row r="740">
      <c r="B740" s="14" t="n"/>
    </row>
    <row r="741">
      <c r="B741" s="14" t="n"/>
    </row>
    <row r="742">
      <c r="B742" s="14" t="n"/>
    </row>
    <row r="743">
      <c r="B743" s="14" t="n"/>
    </row>
    <row r="744">
      <c r="B744" s="14" t="n"/>
    </row>
    <row r="745">
      <c r="B745" s="14" t="n"/>
    </row>
    <row r="746">
      <c r="B746" s="14" t="n"/>
    </row>
    <row r="747">
      <c r="B747" s="14" t="n"/>
    </row>
    <row r="748">
      <c r="B748" s="14" t="n"/>
    </row>
    <row r="749">
      <c r="B749" s="14" t="n"/>
    </row>
    <row r="750">
      <c r="B750" s="14" t="n"/>
    </row>
    <row r="751">
      <c r="B751" s="14" t="n"/>
    </row>
    <row r="752">
      <c r="B752" s="14" t="n"/>
    </row>
    <row r="753">
      <c r="B753" s="14" t="n"/>
    </row>
    <row r="754">
      <c r="B754" s="14" t="n"/>
    </row>
    <row r="755">
      <c r="B755" s="14" t="n"/>
    </row>
    <row r="756">
      <c r="B756" s="14" t="n"/>
    </row>
    <row r="757">
      <c r="B757" s="14" t="n"/>
    </row>
    <row r="758">
      <c r="B758" s="14" t="n"/>
    </row>
    <row r="759">
      <c r="B759" s="14" t="n"/>
    </row>
    <row r="760">
      <c r="B760" s="14" t="n"/>
    </row>
    <row r="761">
      <c r="B761" s="14" t="n"/>
    </row>
    <row r="762">
      <c r="B762" s="14" t="n"/>
    </row>
    <row r="763">
      <c r="B763" s="14" t="n"/>
    </row>
    <row r="764">
      <c r="B764" s="14" t="n"/>
    </row>
    <row r="765">
      <c r="B765" s="14" t="n"/>
    </row>
    <row r="766">
      <c r="B766" s="14" t="n"/>
    </row>
    <row r="767">
      <c r="B767" s="14" t="n"/>
    </row>
    <row r="768">
      <c r="B768" s="14" t="n"/>
    </row>
    <row r="769">
      <c r="B769" s="14" t="n"/>
    </row>
    <row r="770">
      <c r="B770" s="14" t="n"/>
    </row>
    <row r="771">
      <c r="B771" s="14" t="n"/>
    </row>
    <row r="772">
      <c r="B772" s="14" t="n"/>
    </row>
    <row r="773">
      <c r="B773" s="14" t="n"/>
    </row>
    <row r="774">
      <c r="B774" s="14" t="n"/>
    </row>
    <row r="775">
      <c r="B775" s="14" t="n"/>
    </row>
    <row r="776">
      <c r="B776" s="14" t="n"/>
    </row>
    <row r="777">
      <c r="B777" s="14" t="n"/>
    </row>
    <row r="778">
      <c r="B778" s="14" t="n"/>
    </row>
    <row r="779">
      <c r="B779" s="14" t="n"/>
    </row>
    <row r="780">
      <c r="B780" s="14" t="n"/>
    </row>
    <row r="781">
      <c r="B781" s="14" t="n"/>
    </row>
    <row r="782">
      <c r="B782" s="14" t="n"/>
    </row>
    <row r="783">
      <c r="B783" s="14" t="n"/>
    </row>
    <row r="784">
      <c r="B784" s="14" t="n"/>
    </row>
    <row r="785">
      <c r="B785" s="14" t="n"/>
    </row>
    <row r="786">
      <c r="B786" s="14" t="n"/>
    </row>
    <row r="787">
      <c r="B787" s="14" t="n"/>
    </row>
    <row r="788">
      <c r="B788" s="14" t="n"/>
    </row>
    <row r="789">
      <c r="B789" s="14" t="n"/>
    </row>
    <row r="790">
      <c r="B790" s="14" t="n"/>
    </row>
    <row r="791">
      <c r="B791" s="14" t="n"/>
    </row>
    <row r="792">
      <c r="B792" s="14" t="n"/>
    </row>
    <row r="793">
      <c r="B793" s="14" t="n"/>
    </row>
    <row r="794">
      <c r="B794" s="14" t="n"/>
    </row>
    <row r="795">
      <c r="B795" s="14" t="n"/>
    </row>
    <row r="796">
      <c r="B796" s="14" t="n"/>
    </row>
    <row r="797">
      <c r="B797" s="14" t="n"/>
    </row>
    <row r="798">
      <c r="B798" s="14" t="n"/>
    </row>
    <row r="799">
      <c r="B799" s="14" t="n"/>
    </row>
    <row r="800">
      <c r="B800" s="14" t="n"/>
    </row>
    <row r="801">
      <c r="B801" s="14" t="n"/>
    </row>
    <row r="802">
      <c r="B802" s="14" t="n"/>
    </row>
    <row r="803">
      <c r="B803" s="14" t="n"/>
    </row>
    <row r="804">
      <c r="B804" s="14" t="n"/>
    </row>
    <row r="805">
      <c r="B805" s="14" t="n"/>
    </row>
    <row r="806">
      <c r="B806" s="14" t="n"/>
    </row>
    <row r="807">
      <c r="B807" s="14" t="n"/>
    </row>
    <row r="808">
      <c r="B808" s="14" t="n"/>
    </row>
    <row r="809">
      <c r="B809" s="14" t="n"/>
    </row>
    <row r="810">
      <c r="B810" s="14" t="n"/>
    </row>
    <row r="811">
      <c r="B811" s="14" t="n"/>
    </row>
    <row r="812">
      <c r="B812" s="14" t="n"/>
    </row>
    <row r="813">
      <c r="B813" s="14" t="n"/>
    </row>
    <row r="814">
      <c r="B814" s="14" t="n"/>
    </row>
    <row r="815">
      <c r="B815" s="14" t="n"/>
    </row>
    <row r="816">
      <c r="B816" s="14" t="n"/>
    </row>
    <row r="817">
      <c r="B817" s="14" t="n"/>
    </row>
    <row r="818">
      <c r="B818" s="14" t="n"/>
    </row>
    <row r="819">
      <c r="B819" s="14" t="n"/>
    </row>
    <row r="820">
      <c r="B820" s="14" t="n"/>
    </row>
    <row r="821">
      <c r="B821" s="14" t="n"/>
    </row>
    <row r="822">
      <c r="B822" s="14" t="n"/>
    </row>
    <row r="823">
      <c r="B823" s="14" t="n"/>
    </row>
    <row r="824">
      <c r="B824" s="14" t="n"/>
    </row>
    <row r="825">
      <c r="B825" s="14" t="n"/>
    </row>
    <row r="826">
      <c r="B826" s="14" t="n"/>
    </row>
    <row r="827">
      <c r="B827" s="14" t="n"/>
    </row>
    <row r="828">
      <c r="B828" s="14" t="n"/>
    </row>
    <row r="829">
      <c r="B829" s="14" t="n"/>
    </row>
    <row r="830">
      <c r="B830" s="14" t="n"/>
    </row>
    <row r="831">
      <c r="B831" s="14" t="n"/>
    </row>
    <row r="832">
      <c r="B832" s="14" t="n"/>
    </row>
    <row r="833">
      <c r="B833" s="14" t="n"/>
    </row>
    <row r="834">
      <c r="B834" s="14" t="n"/>
    </row>
    <row r="835">
      <c r="B835" s="14" t="n"/>
    </row>
    <row r="836">
      <c r="B836" s="14" t="n"/>
    </row>
    <row r="837">
      <c r="B837" s="14" t="n"/>
    </row>
    <row r="838">
      <c r="B838" s="14" t="n"/>
    </row>
    <row r="839">
      <c r="B839" s="14" t="n"/>
    </row>
    <row r="840">
      <c r="B840" s="14" t="n"/>
    </row>
    <row r="841">
      <c r="B841" s="14" t="n"/>
    </row>
    <row r="842">
      <c r="B842" s="14" t="n"/>
    </row>
    <row r="843">
      <c r="B843" s="14" t="n"/>
    </row>
    <row r="844">
      <c r="B844" s="14" t="n"/>
    </row>
    <row r="845">
      <c r="B845" s="14" t="n"/>
    </row>
    <row r="846">
      <c r="B846" s="14" t="n"/>
    </row>
    <row r="847">
      <c r="B847" s="14" t="n"/>
    </row>
    <row r="848">
      <c r="B848" s="14" t="n"/>
    </row>
    <row r="849">
      <c r="B849" s="14" t="n"/>
    </row>
    <row r="850">
      <c r="B850" s="14" t="n"/>
    </row>
    <row r="851">
      <c r="B851" s="14" t="n"/>
    </row>
    <row r="852">
      <c r="B852" s="14" t="n"/>
    </row>
    <row r="853">
      <c r="B853" s="14" t="n"/>
    </row>
    <row r="854">
      <c r="B854" s="14" t="n"/>
    </row>
    <row r="855">
      <c r="B855" s="14" t="n"/>
    </row>
    <row r="856">
      <c r="B856" s="14" t="n"/>
    </row>
    <row r="857">
      <c r="B857" s="14" t="n"/>
    </row>
    <row r="858">
      <c r="B858" s="14" t="n"/>
    </row>
    <row r="859">
      <c r="B859" s="14" t="n"/>
    </row>
    <row r="860">
      <c r="B860" s="14" t="n"/>
    </row>
    <row r="861">
      <c r="B861" s="14" t="n"/>
    </row>
    <row r="862">
      <c r="B862" s="14" t="n"/>
    </row>
    <row r="863">
      <c r="B863" s="14" t="n"/>
    </row>
    <row r="864">
      <c r="B864" s="14" t="n"/>
    </row>
    <row r="865">
      <c r="B865" s="14" t="n"/>
    </row>
    <row r="866">
      <c r="B866" s="14" t="n"/>
    </row>
    <row r="867">
      <c r="B867" s="14" t="n"/>
    </row>
    <row r="868">
      <c r="B868" s="14" t="n"/>
    </row>
    <row r="869">
      <c r="B869" s="14" t="n"/>
    </row>
    <row r="870">
      <c r="B870" s="14" t="n"/>
    </row>
    <row r="871">
      <c r="B871" s="14" t="n"/>
    </row>
    <row r="872">
      <c r="B872" s="14" t="n"/>
    </row>
    <row r="873">
      <c r="B873" s="14" t="n"/>
    </row>
    <row r="874">
      <c r="B874" s="14" t="n"/>
    </row>
    <row r="875">
      <c r="B875" s="14" t="n"/>
    </row>
    <row r="876">
      <c r="B876" s="14" t="n"/>
    </row>
    <row r="877">
      <c r="B877" s="14" t="n"/>
    </row>
    <row r="878">
      <c r="B878" s="14" t="n"/>
    </row>
    <row r="879">
      <c r="B879" s="14" t="n"/>
    </row>
    <row r="880">
      <c r="B880" s="14" t="n"/>
    </row>
    <row r="881">
      <c r="B881" s="14" t="n"/>
    </row>
    <row r="882">
      <c r="B882" s="14" t="n"/>
    </row>
    <row r="883">
      <c r="B883" s="14" t="n"/>
    </row>
    <row r="884">
      <c r="B884" s="14" t="n"/>
    </row>
    <row r="885">
      <c r="B885" s="14" t="n"/>
    </row>
    <row r="886">
      <c r="B886" s="14" t="n"/>
    </row>
    <row r="887">
      <c r="B887" s="14" t="n"/>
    </row>
    <row r="888">
      <c r="B888" s="14" t="n"/>
    </row>
    <row r="889">
      <c r="B889" s="14" t="n"/>
    </row>
    <row r="890">
      <c r="B890" s="14" t="n"/>
    </row>
    <row r="891">
      <c r="B891" s="14" t="n"/>
    </row>
    <row r="892">
      <c r="B892" s="14" t="n"/>
    </row>
    <row r="893">
      <c r="B893" s="14" t="n"/>
    </row>
    <row r="894">
      <c r="B894" s="14" t="n"/>
    </row>
    <row r="895">
      <c r="B895" s="14" t="n"/>
    </row>
    <row r="896">
      <c r="B896" s="14" t="n"/>
    </row>
    <row r="897">
      <c r="B897" s="14" t="n"/>
    </row>
    <row r="898">
      <c r="B898" s="14" t="n"/>
    </row>
    <row r="899">
      <c r="B899" s="14" t="n"/>
    </row>
    <row r="900">
      <c r="B900" s="14" t="n"/>
    </row>
    <row r="901">
      <c r="B901" s="14" t="n"/>
    </row>
    <row r="902">
      <c r="B902" s="14" t="n"/>
    </row>
    <row r="903">
      <c r="B903" s="14" t="n"/>
    </row>
    <row r="904">
      <c r="B904" s="14" t="n"/>
    </row>
    <row r="905">
      <c r="B905" s="14" t="n"/>
    </row>
    <row r="906">
      <c r="B906" s="14" t="n"/>
    </row>
    <row r="907">
      <c r="B907" s="14" t="n"/>
    </row>
    <row r="908">
      <c r="B908" s="14" t="n"/>
    </row>
    <row r="909">
      <c r="B909" s="14" t="n"/>
    </row>
    <row r="910">
      <c r="B910" s="14" t="n"/>
    </row>
    <row r="911">
      <c r="B911" s="14" t="n"/>
    </row>
    <row r="912">
      <c r="B912" s="14" t="n"/>
    </row>
    <row r="913">
      <c r="B913" s="14" t="n"/>
    </row>
    <row r="914">
      <c r="B914" s="14" t="n"/>
    </row>
    <row r="915">
      <c r="B915" s="14" t="n"/>
    </row>
    <row r="916">
      <c r="B916" s="14" t="n"/>
    </row>
    <row r="917">
      <c r="B917" s="14" t="n"/>
    </row>
    <row r="918">
      <c r="B918" s="14" t="n"/>
    </row>
    <row r="919">
      <c r="B919" s="14" t="n"/>
    </row>
    <row r="920">
      <c r="B920" s="14" t="n"/>
    </row>
    <row r="921">
      <c r="B921" s="14" t="n"/>
    </row>
    <row r="922">
      <c r="B922" s="14" t="n"/>
    </row>
    <row r="923">
      <c r="B923" s="14" t="n"/>
    </row>
    <row r="924">
      <c r="B924" s="14" t="n"/>
    </row>
    <row r="925">
      <c r="B925" s="14" t="n"/>
    </row>
    <row r="926">
      <c r="B926" s="14" t="n"/>
    </row>
    <row r="927">
      <c r="B927" s="14" t="n"/>
    </row>
    <row r="928">
      <c r="B928" s="14" t="n"/>
    </row>
    <row r="929">
      <c r="B929" s="14" t="n"/>
    </row>
    <row r="930">
      <c r="B930" s="14" t="n"/>
    </row>
    <row r="931">
      <c r="B931" s="14" t="n"/>
    </row>
    <row r="932">
      <c r="B932" s="14" t="n"/>
    </row>
    <row r="933">
      <c r="B933" s="14" t="n"/>
    </row>
    <row r="934">
      <c r="B934" s="14" t="n"/>
    </row>
    <row r="935">
      <c r="B935" s="14" t="n"/>
    </row>
    <row r="936">
      <c r="B936" s="14" t="n"/>
    </row>
    <row r="937">
      <c r="B937" s="14" t="n"/>
    </row>
    <row r="938">
      <c r="B938" s="14" t="n"/>
    </row>
    <row r="939">
      <c r="B939" s="14" t="n"/>
    </row>
    <row r="940">
      <c r="B940" s="14" t="n"/>
    </row>
    <row r="941">
      <c r="B941" s="14" t="n"/>
    </row>
    <row r="942">
      <c r="B942" s="14" t="n"/>
    </row>
    <row r="943">
      <c r="B943" s="14" t="n"/>
    </row>
    <row r="944">
      <c r="B944" s="14" t="n"/>
    </row>
    <row r="945">
      <c r="B945" s="14" t="n"/>
    </row>
    <row r="946">
      <c r="B946" s="14" t="n"/>
    </row>
    <row r="947">
      <c r="B947" s="14" t="n"/>
    </row>
    <row r="948">
      <c r="B948" s="14" t="n"/>
    </row>
    <row r="949">
      <c r="B949" s="14" t="n"/>
    </row>
    <row r="950">
      <c r="B950" s="14" t="n"/>
    </row>
    <row r="951">
      <c r="B951" s="14" t="n"/>
    </row>
    <row r="952">
      <c r="B952" s="14" t="n"/>
    </row>
    <row r="953">
      <c r="B953" s="14" t="n"/>
    </row>
    <row r="954">
      <c r="B954" s="14" t="n"/>
    </row>
    <row r="955">
      <c r="B955" s="14" t="n"/>
    </row>
    <row r="956">
      <c r="B956" s="14" t="n"/>
    </row>
    <row r="957">
      <c r="B957" s="14" t="n"/>
    </row>
    <row r="958">
      <c r="B958" s="14" t="n"/>
    </row>
    <row r="959">
      <c r="B959" s="14" t="n"/>
    </row>
    <row r="960">
      <c r="B960" s="14" t="n"/>
    </row>
    <row r="961">
      <c r="B961" s="14" t="n"/>
    </row>
    <row r="962">
      <c r="B962" s="14" t="n"/>
    </row>
    <row r="963">
      <c r="B963" s="14" t="n"/>
    </row>
    <row r="964">
      <c r="B964" s="14" t="n"/>
    </row>
    <row r="965">
      <c r="B965" s="14" t="n"/>
    </row>
    <row r="966">
      <c r="B966" s="14" t="n"/>
    </row>
    <row r="967">
      <c r="B967" s="14" t="n"/>
    </row>
    <row r="968">
      <c r="B968" s="14" t="n"/>
    </row>
    <row r="969">
      <c r="B969" s="14" t="n"/>
    </row>
    <row r="970">
      <c r="B970" s="14" t="n"/>
    </row>
    <row r="971">
      <c r="B971" s="14" t="n"/>
    </row>
    <row r="972">
      <c r="B972" s="14" t="n"/>
    </row>
    <row r="973">
      <c r="B973" s="14" t="n"/>
    </row>
    <row r="974">
      <c r="B974" s="14" t="n"/>
    </row>
    <row r="975">
      <c r="B975" s="14" t="n"/>
    </row>
    <row r="976">
      <c r="B976" s="14" t="n"/>
    </row>
    <row r="977">
      <c r="B977" s="14" t="n"/>
    </row>
    <row r="978">
      <c r="B978" s="14" t="n"/>
    </row>
    <row r="979">
      <c r="B979" s="14" t="n"/>
    </row>
    <row r="980">
      <c r="B980" s="14" t="n"/>
    </row>
    <row r="981">
      <c r="B981" s="14" t="n"/>
    </row>
    <row r="982">
      <c r="B982" s="14" t="n"/>
    </row>
    <row r="983">
      <c r="B983" s="14" t="n"/>
    </row>
    <row r="984">
      <c r="B984" s="14" t="n"/>
    </row>
    <row r="985">
      <c r="B985" s="14" t="n"/>
    </row>
    <row r="986">
      <c r="B986" s="14" t="n"/>
    </row>
    <row r="987">
      <c r="B987" s="14" t="n"/>
    </row>
    <row r="988">
      <c r="B988" s="14" t="n"/>
    </row>
    <row r="989">
      <c r="B989" s="14" t="n"/>
    </row>
    <row r="990">
      <c r="B990" s="14" t="n"/>
    </row>
    <row r="991">
      <c r="B991" s="14" t="n"/>
    </row>
    <row r="992">
      <c r="B992" s="14" t="n"/>
    </row>
    <row r="993">
      <c r="B993" s="14" t="n"/>
    </row>
    <row r="994">
      <c r="B994" s="14" t="n"/>
    </row>
    <row r="995">
      <c r="B995" s="14" t="n"/>
    </row>
    <row r="996">
      <c r="B996" s="14" t="n"/>
    </row>
    <row r="997">
      <c r="B997" s="14" t="n"/>
    </row>
    <row r="998">
      <c r="B998" s="14" t="n"/>
    </row>
    <row r="999">
      <c r="B999" s="14" t="n"/>
    </row>
    <row r="1000">
      <c r="B1000" s="14" t="n"/>
    </row>
    <row r="1001">
      <c r="B1001" s="14" t="n"/>
    </row>
    <row r="1002">
      <c r="B1002" s="14" t="n"/>
    </row>
    <row r="1003">
      <c r="B1003" s="14" t="n"/>
    </row>
    <row r="1004">
      <c r="B1004" s="14" t="n"/>
    </row>
    <row r="1005">
      <c r="B1005" s="14" t="n"/>
    </row>
    <row r="1006">
      <c r="B1006" s="14" t="n"/>
    </row>
    <row r="1007">
      <c r="B1007" s="14" t="n"/>
    </row>
    <row r="1008">
      <c r="B1008" s="14" t="n"/>
    </row>
    <row r="1009">
      <c r="B1009" s="14" t="n"/>
    </row>
    <row r="1010">
      <c r="B1010" s="14" t="n"/>
    </row>
    <row r="1011">
      <c r="B1011" s="14" t="n"/>
    </row>
    <row r="1012">
      <c r="B1012" s="14" t="n"/>
    </row>
    <row r="1013">
      <c r="B1013" s="14" t="n"/>
    </row>
    <row r="1014">
      <c r="B1014" s="14" t="n"/>
    </row>
    <row r="1015">
      <c r="B1015" s="14" t="n"/>
    </row>
    <row r="1016">
      <c r="B1016" s="14" t="n"/>
    </row>
    <row r="1017">
      <c r="B1017" s="14" t="n"/>
    </row>
    <row r="1018">
      <c r="B1018" s="14" t="n"/>
    </row>
    <row r="1019">
      <c r="B1019" s="14" t="n"/>
    </row>
    <row r="1020">
      <c r="B1020" s="14" t="n"/>
    </row>
    <row r="1021">
      <c r="B1021" s="14" t="n"/>
    </row>
    <row r="1022">
      <c r="B1022" s="14" t="n"/>
    </row>
    <row r="1023">
      <c r="B1023" s="14" t="n"/>
    </row>
    <row r="1024">
      <c r="B1024" s="14" t="n"/>
    </row>
    <row r="1025">
      <c r="B1025" s="14" t="n"/>
    </row>
    <row r="1026">
      <c r="B1026" s="14" t="n"/>
    </row>
    <row r="1027">
      <c r="B1027" s="14" t="n"/>
    </row>
    <row r="1028">
      <c r="B1028" s="14" t="n"/>
    </row>
    <row r="1029">
      <c r="B1029" s="14" t="n"/>
    </row>
    <row r="1030">
      <c r="B1030" s="14" t="n"/>
    </row>
    <row r="1031">
      <c r="B1031" s="14" t="n"/>
    </row>
    <row r="1032">
      <c r="B1032" s="14" t="n"/>
    </row>
    <row r="1033">
      <c r="B1033" s="14" t="n"/>
    </row>
    <row r="1034">
      <c r="B1034" s="14" t="n"/>
    </row>
    <row r="1035">
      <c r="B1035" s="14" t="n"/>
    </row>
    <row r="1036">
      <c r="B1036" s="14" t="n"/>
    </row>
    <row r="1037">
      <c r="B1037" s="14" t="n"/>
    </row>
    <row r="1038">
      <c r="B1038" s="14" t="n"/>
    </row>
    <row r="1039">
      <c r="B1039" s="14" t="n"/>
    </row>
    <row r="1040">
      <c r="B1040" s="14" t="n"/>
    </row>
    <row r="1041">
      <c r="B1041" s="14" t="n"/>
    </row>
    <row r="1042">
      <c r="B1042" s="14" t="n"/>
    </row>
    <row r="1043">
      <c r="B1043" s="14" t="n"/>
    </row>
    <row r="1044">
      <c r="B1044" s="14" t="n"/>
    </row>
    <row r="1045">
      <c r="B1045" s="14" t="n"/>
    </row>
    <row r="1046">
      <c r="B1046" s="14" t="n"/>
    </row>
    <row r="1047">
      <c r="B1047" s="14" t="n"/>
    </row>
    <row r="1048">
      <c r="B1048" s="14" t="n"/>
    </row>
    <row r="1049">
      <c r="B1049" s="14" t="n"/>
    </row>
    <row r="1050">
      <c r="B1050" s="14" t="n"/>
    </row>
    <row r="1051">
      <c r="B1051" s="14" t="n"/>
    </row>
    <row r="1052">
      <c r="B1052" s="14" t="n"/>
    </row>
    <row r="1053">
      <c r="B1053" s="14" t="n"/>
    </row>
    <row r="1054">
      <c r="B1054" s="14" t="n"/>
    </row>
    <row r="1055">
      <c r="B1055" s="14" t="n"/>
    </row>
    <row r="1056">
      <c r="B1056" s="14" t="n"/>
    </row>
    <row r="1057">
      <c r="B1057" s="14" t="n"/>
    </row>
    <row r="1058">
      <c r="B1058" s="14" t="n"/>
    </row>
    <row r="1059">
      <c r="B1059" s="14" t="n"/>
    </row>
    <row r="1060">
      <c r="B1060" s="14" t="n"/>
    </row>
    <row r="1061">
      <c r="B1061" s="14" t="n"/>
    </row>
    <row r="1062">
      <c r="B1062" s="14" t="n"/>
    </row>
    <row r="1063">
      <c r="B1063" s="14" t="n"/>
    </row>
    <row r="1064">
      <c r="B1064" s="14" t="n"/>
    </row>
    <row r="1065">
      <c r="B1065" s="14" t="n"/>
    </row>
    <row r="1066">
      <c r="B1066" s="14" t="n"/>
    </row>
    <row r="1067">
      <c r="B1067" s="14" t="n"/>
    </row>
    <row r="1068">
      <c r="B1068" s="14" t="n"/>
    </row>
    <row r="1069">
      <c r="B1069" s="14" t="n"/>
    </row>
    <row r="1070">
      <c r="B1070" s="14" t="n"/>
    </row>
    <row r="1071">
      <c r="B1071" s="14" t="n"/>
    </row>
    <row r="1072">
      <c r="B1072" s="14" t="n"/>
    </row>
    <row r="1073">
      <c r="B1073" s="14" t="n"/>
    </row>
    <row r="1074">
      <c r="B1074" s="14" t="n"/>
    </row>
    <row r="1075">
      <c r="B1075" s="14" t="n"/>
    </row>
    <row r="1076">
      <c r="B1076" s="14" t="n"/>
    </row>
    <row r="1077">
      <c r="B1077" s="14" t="n"/>
    </row>
    <row r="1078">
      <c r="B1078" s="14" t="n"/>
    </row>
    <row r="1079">
      <c r="B1079" s="14" t="n"/>
    </row>
    <row r="1080">
      <c r="B1080" s="14" t="n"/>
    </row>
    <row r="1081">
      <c r="B1081" s="14" t="n"/>
    </row>
    <row r="1082">
      <c r="B1082" s="14" t="n"/>
    </row>
    <row r="1083">
      <c r="B1083" s="14" t="n"/>
    </row>
    <row r="1084">
      <c r="B1084" s="14" t="n"/>
    </row>
    <row r="1085">
      <c r="B1085" s="14" t="n"/>
    </row>
    <row r="1086">
      <c r="B1086" s="14" t="n"/>
    </row>
    <row r="1087">
      <c r="B1087" s="14" t="n"/>
    </row>
    <row r="1088">
      <c r="B1088" s="14" t="n"/>
    </row>
    <row r="1089">
      <c r="B1089" s="14" t="n"/>
    </row>
    <row r="1090">
      <c r="B1090" s="14" t="n"/>
    </row>
    <row r="1091">
      <c r="B1091" s="14" t="n"/>
    </row>
    <row r="1092">
      <c r="B1092" s="14" t="n"/>
    </row>
    <row r="1093">
      <c r="B1093" s="14" t="n"/>
    </row>
    <row r="1094">
      <c r="B1094" s="14" t="n"/>
    </row>
    <row r="1095">
      <c r="B1095" s="14" t="n"/>
    </row>
    <row r="1096">
      <c r="B1096" s="14" t="n"/>
    </row>
    <row r="1097">
      <c r="B1097" s="14" t="n"/>
    </row>
    <row r="1098">
      <c r="B1098" s="14" t="n"/>
    </row>
    <row r="1099">
      <c r="B1099" s="14" t="n"/>
    </row>
    <row r="1100">
      <c r="B1100" s="14" t="n"/>
    </row>
    <row r="1101">
      <c r="B1101" s="14" t="n"/>
    </row>
    <row r="1102">
      <c r="B1102" s="14" t="n"/>
    </row>
    <row r="1103">
      <c r="B1103" s="14" t="n"/>
    </row>
    <row r="1104">
      <c r="B1104" s="14" t="n"/>
    </row>
    <row r="1105">
      <c r="B1105" s="14" t="n"/>
    </row>
    <row r="1106">
      <c r="B1106" s="14" t="n"/>
    </row>
    <row r="1107">
      <c r="B1107" s="14" t="n"/>
    </row>
    <row r="1108">
      <c r="B1108" s="14" t="n"/>
    </row>
    <row r="1109">
      <c r="B1109" s="14" t="n"/>
    </row>
    <row r="1110">
      <c r="B1110" s="14" t="n"/>
    </row>
    <row r="1111">
      <c r="B1111" s="14" t="n"/>
    </row>
    <row r="1112">
      <c r="B1112" s="14" t="n"/>
    </row>
    <row r="1113">
      <c r="B1113" s="14" t="n"/>
    </row>
    <row r="1114">
      <c r="B1114" s="14" t="n"/>
    </row>
    <row r="1115">
      <c r="B1115" s="14" t="n"/>
    </row>
    <row r="1116">
      <c r="B1116" s="14" t="n"/>
    </row>
    <row r="1117">
      <c r="B1117" s="14" t="n"/>
    </row>
    <row r="1118">
      <c r="B1118" s="14" t="n"/>
    </row>
    <row r="1119">
      <c r="B1119" s="14" t="n"/>
    </row>
    <row r="1120">
      <c r="B1120" s="14" t="n"/>
    </row>
    <row r="1121">
      <c r="B1121" s="14" t="n"/>
    </row>
    <row r="1122">
      <c r="B1122" s="14" t="n"/>
    </row>
    <row r="1123">
      <c r="B1123" s="14" t="n"/>
    </row>
    <row r="1124">
      <c r="B1124" s="14" t="n"/>
    </row>
    <row r="1125">
      <c r="B1125" s="14" t="n"/>
    </row>
    <row r="1126">
      <c r="B1126" s="14" t="n"/>
    </row>
    <row r="1127">
      <c r="B1127" s="14" t="n"/>
    </row>
    <row r="1128">
      <c r="B1128" s="14" t="n"/>
    </row>
    <row r="1129">
      <c r="B1129" s="14" t="n"/>
    </row>
    <row r="1130">
      <c r="B1130" s="14" t="n"/>
    </row>
    <row r="1131">
      <c r="B1131" s="14" t="n"/>
    </row>
    <row r="1132">
      <c r="B1132" s="14" t="n"/>
    </row>
    <row r="1133">
      <c r="B1133" s="14" t="n"/>
    </row>
    <row r="1134">
      <c r="B1134" s="14" t="n"/>
    </row>
    <row r="1135">
      <c r="B1135" s="14" t="n"/>
    </row>
    <row r="1136">
      <c r="B1136" s="14" t="n"/>
    </row>
    <row r="1137">
      <c r="B1137" s="14" t="n"/>
    </row>
    <row r="1138">
      <c r="B1138" s="14" t="n"/>
    </row>
    <row r="1139">
      <c r="B1139" s="14" t="n"/>
    </row>
    <row r="1140">
      <c r="B1140" s="14" t="n"/>
    </row>
    <row r="1141">
      <c r="B1141" s="14" t="n"/>
    </row>
    <row r="1142">
      <c r="B1142" s="14" t="n"/>
    </row>
    <row r="1143">
      <c r="B1143" s="14" t="n"/>
    </row>
    <row r="1144">
      <c r="B1144" s="14" t="n"/>
    </row>
    <row r="1145">
      <c r="B1145" s="14" t="n"/>
    </row>
    <row r="1146">
      <c r="B1146" s="14" t="n"/>
    </row>
    <row r="1147">
      <c r="B1147" s="14" t="n"/>
    </row>
    <row r="1148">
      <c r="B1148" s="14" t="n"/>
    </row>
    <row r="1149">
      <c r="B1149" s="14" t="n"/>
    </row>
    <row r="1150">
      <c r="B1150" s="14" t="n"/>
    </row>
    <row r="1151">
      <c r="B1151" s="14" t="n"/>
    </row>
    <row r="1152">
      <c r="B1152" s="14" t="n"/>
    </row>
    <row r="1153">
      <c r="B1153" s="14" t="n"/>
    </row>
    <row r="1154">
      <c r="B1154" s="14" t="n"/>
    </row>
    <row r="1155">
      <c r="B1155" s="14" t="n"/>
    </row>
    <row r="1156">
      <c r="B1156" s="14" t="n"/>
    </row>
    <row r="1157">
      <c r="B1157" s="14" t="n"/>
    </row>
    <row r="1158">
      <c r="B1158" s="14" t="n"/>
    </row>
    <row r="1159">
      <c r="B1159" s="14" t="n"/>
    </row>
    <row r="1160">
      <c r="B1160" s="14" t="n"/>
    </row>
    <row r="1161">
      <c r="B1161" s="14" t="n"/>
    </row>
    <row r="1162">
      <c r="B1162" s="14" t="n"/>
    </row>
    <row r="1163">
      <c r="B1163" s="14" t="n"/>
    </row>
    <row r="1164">
      <c r="B1164" s="14" t="n"/>
    </row>
    <row r="1165">
      <c r="B1165" s="14" t="n"/>
    </row>
    <row r="1166">
      <c r="B1166" s="14" t="n"/>
    </row>
    <row r="1167">
      <c r="B1167" s="14" t="n"/>
    </row>
    <row r="1168">
      <c r="B1168" s="14" t="n"/>
    </row>
    <row r="1169">
      <c r="B1169" s="14" t="n"/>
    </row>
    <row r="1170">
      <c r="B1170" s="14" t="n"/>
    </row>
    <row r="1171">
      <c r="B1171" s="14" t="n"/>
    </row>
    <row r="1172">
      <c r="B1172" s="14" t="n"/>
    </row>
    <row r="1173">
      <c r="B1173" s="14" t="n"/>
    </row>
    <row r="1174">
      <c r="B1174" s="14" t="n"/>
    </row>
    <row r="1175">
      <c r="B1175" s="14" t="n"/>
    </row>
    <row r="1176">
      <c r="B1176" s="14" t="n"/>
    </row>
    <row r="1177">
      <c r="B1177" s="14" t="n"/>
    </row>
    <row r="1178">
      <c r="B1178" s="14" t="n"/>
    </row>
    <row r="1179">
      <c r="B1179" s="14" t="n"/>
    </row>
    <row r="1180">
      <c r="B1180" s="14" t="n"/>
    </row>
    <row r="1181">
      <c r="B1181" s="14" t="n"/>
    </row>
    <row r="1182">
      <c r="B1182" s="14" t="n"/>
    </row>
    <row r="1183">
      <c r="B1183" s="14" t="n"/>
    </row>
    <row r="1184">
      <c r="B1184" s="14" t="n"/>
    </row>
    <row r="1185">
      <c r="B1185" s="14" t="n"/>
    </row>
    <row r="1186">
      <c r="B1186" s="14" t="n"/>
    </row>
    <row r="1187">
      <c r="B1187" s="14" t="n"/>
    </row>
    <row r="1188">
      <c r="B1188" s="14" t="n"/>
    </row>
    <row r="1189">
      <c r="B1189" s="14" t="n"/>
    </row>
    <row r="1190">
      <c r="B1190" s="14" t="n"/>
    </row>
    <row r="1191">
      <c r="B1191" s="14" t="n"/>
    </row>
    <row r="1192">
      <c r="B1192" s="14" t="n"/>
    </row>
    <row r="1193">
      <c r="B1193" s="14" t="n"/>
    </row>
    <row r="1194">
      <c r="B1194" s="14" t="n"/>
    </row>
    <row r="1195">
      <c r="B1195" s="14" t="n"/>
    </row>
    <row r="1196">
      <c r="B1196" s="14" t="n"/>
    </row>
    <row r="1197">
      <c r="B1197" s="14" t="n"/>
    </row>
    <row r="1198">
      <c r="B1198" s="14" t="n"/>
    </row>
    <row r="1199">
      <c r="B1199" s="14" t="n"/>
    </row>
    <row r="1200">
      <c r="B1200" s="14" t="n"/>
    </row>
    <row r="1201">
      <c r="B1201" s="14" t="n"/>
    </row>
    <row r="1202">
      <c r="B1202" s="14" t="n"/>
    </row>
    <row r="1203">
      <c r="B1203" s="14" t="n"/>
    </row>
    <row r="1204">
      <c r="B1204" s="14" t="n"/>
    </row>
    <row r="1205">
      <c r="B1205" s="14" t="n"/>
    </row>
    <row r="1206">
      <c r="B1206" s="14" t="n"/>
    </row>
    <row r="1207">
      <c r="B1207" s="14" t="n"/>
    </row>
    <row r="1208">
      <c r="B1208" s="14" t="n"/>
    </row>
    <row r="1209">
      <c r="B1209" s="14" t="n"/>
    </row>
    <row r="1210">
      <c r="B1210" s="14" t="n"/>
    </row>
    <row r="1211">
      <c r="B1211" s="14" t="n"/>
    </row>
    <row r="1212">
      <c r="B1212" s="14" t="n"/>
    </row>
    <row r="1213">
      <c r="B1213" s="14" t="n"/>
    </row>
    <row r="1214">
      <c r="B1214" s="14" t="n"/>
    </row>
    <row r="1215">
      <c r="B1215" s="14" t="n"/>
    </row>
    <row r="1216">
      <c r="B1216" s="14" t="n"/>
    </row>
    <row r="1217">
      <c r="B1217" s="14" t="n"/>
    </row>
    <row r="1218">
      <c r="B1218" s="14" t="n"/>
    </row>
    <row r="1219">
      <c r="B1219" s="14" t="n"/>
    </row>
    <row r="1220">
      <c r="B1220" s="14" t="n"/>
    </row>
    <row r="1221">
      <c r="B1221" s="14" t="n"/>
    </row>
    <row r="1222">
      <c r="B1222" s="14" t="n"/>
    </row>
    <row r="1223">
      <c r="B1223" s="14" t="n"/>
    </row>
    <row r="1224">
      <c r="B1224" s="14" t="n"/>
    </row>
    <row r="1225">
      <c r="B1225" s="14" t="n"/>
    </row>
    <row r="1226">
      <c r="B1226" s="14" t="n"/>
    </row>
    <row r="1227">
      <c r="B1227" s="14" t="n"/>
    </row>
    <row r="1228">
      <c r="B1228" s="14" t="n"/>
    </row>
    <row r="1229">
      <c r="B1229" s="14" t="n"/>
    </row>
    <row r="1230">
      <c r="B1230" s="14" t="n"/>
    </row>
    <row r="1231">
      <c r="B1231" s="14" t="n"/>
    </row>
    <row r="1232">
      <c r="B1232" s="14" t="n"/>
    </row>
    <row r="1233">
      <c r="B1233" s="14" t="n"/>
    </row>
    <row r="1234">
      <c r="B1234" s="14" t="n"/>
    </row>
    <row r="1235">
      <c r="B1235" s="14" t="n"/>
    </row>
    <row r="1236">
      <c r="B1236" s="14" t="n"/>
    </row>
    <row r="1237">
      <c r="B1237" s="14" t="n"/>
    </row>
    <row r="1238">
      <c r="B1238" s="14" t="n"/>
    </row>
    <row r="1239">
      <c r="B1239" s="14" t="n"/>
    </row>
    <row r="1240">
      <c r="B1240" s="14" t="n"/>
    </row>
    <row r="1241">
      <c r="B1241" s="14" t="n"/>
    </row>
    <row r="1242">
      <c r="B1242" s="14" t="n"/>
    </row>
    <row r="1243">
      <c r="B1243" s="14" t="n"/>
    </row>
    <row r="1244">
      <c r="B1244" s="14" t="n"/>
    </row>
    <row r="1245">
      <c r="B1245" s="14" t="n"/>
    </row>
    <row r="1246">
      <c r="B1246" s="14" t="n"/>
    </row>
    <row r="1247">
      <c r="B1247" s="14" t="n"/>
    </row>
    <row r="1248">
      <c r="B1248" s="14" t="n"/>
    </row>
    <row r="1249">
      <c r="B1249" s="14" t="n"/>
    </row>
    <row r="1250">
      <c r="B1250" s="14" t="n"/>
    </row>
    <row r="1251">
      <c r="B1251" s="14" t="n"/>
    </row>
    <row r="1252">
      <c r="B1252" s="14" t="n"/>
    </row>
    <row r="1253">
      <c r="B1253" s="14" t="n"/>
    </row>
    <row r="1254">
      <c r="B1254" s="14" t="n"/>
    </row>
    <row r="1255">
      <c r="B1255" s="14" t="n"/>
    </row>
    <row r="1256">
      <c r="B1256" s="14" t="n"/>
    </row>
    <row r="1257">
      <c r="B1257" s="14" t="n"/>
    </row>
    <row r="1258">
      <c r="B1258" s="14" t="n"/>
    </row>
    <row r="1259">
      <c r="B1259" s="14" t="n"/>
    </row>
    <row r="1260">
      <c r="B1260" s="14" t="n"/>
    </row>
    <row r="1261">
      <c r="B1261" s="14" t="n"/>
    </row>
    <row r="1262">
      <c r="B1262" s="14" t="n"/>
    </row>
    <row r="1263">
      <c r="B1263" s="14" t="n"/>
    </row>
    <row r="1264">
      <c r="B1264" s="14" t="n"/>
    </row>
    <row r="1265">
      <c r="B1265" s="14" t="n"/>
    </row>
    <row r="1266">
      <c r="B1266" s="14" t="n"/>
    </row>
    <row r="1267">
      <c r="B1267" s="14" t="n"/>
    </row>
    <row r="1268">
      <c r="B1268" s="14" t="n"/>
    </row>
    <row r="1269">
      <c r="B1269" s="14" t="n"/>
    </row>
    <row r="1270">
      <c r="B1270" s="14" t="n"/>
    </row>
    <row r="1271">
      <c r="B1271" s="14" t="n"/>
    </row>
    <row r="1272">
      <c r="B1272" s="14" t="n"/>
    </row>
    <row r="1273">
      <c r="B1273" s="14" t="n"/>
    </row>
    <row r="1274">
      <c r="B1274" s="14" t="n"/>
    </row>
    <row r="1275">
      <c r="B1275" s="14" t="n"/>
    </row>
    <row r="1276">
      <c r="B1276" s="14" t="n"/>
    </row>
    <row r="1277">
      <c r="B1277" s="14" t="n"/>
    </row>
    <row r="1278">
      <c r="B1278" s="14" t="n"/>
    </row>
    <row r="1279">
      <c r="B1279" s="14" t="n"/>
    </row>
    <row r="1280">
      <c r="B1280" s="14" t="n"/>
    </row>
    <row r="1281">
      <c r="B1281" s="14" t="n"/>
    </row>
    <row r="1282">
      <c r="B1282" s="14" t="n"/>
    </row>
    <row r="1283">
      <c r="B1283" s="14" t="n"/>
    </row>
    <row r="1284">
      <c r="B1284" s="14" t="n"/>
    </row>
    <row r="1285">
      <c r="B1285" s="14" t="n"/>
    </row>
    <row r="1286">
      <c r="B1286" s="14" t="n"/>
    </row>
    <row r="1287">
      <c r="B1287" s="14" t="n"/>
    </row>
    <row r="1288">
      <c r="B1288" s="14" t="n"/>
    </row>
    <row r="1289">
      <c r="B1289" s="14" t="n"/>
    </row>
    <row r="1290">
      <c r="B1290" s="14" t="n"/>
    </row>
    <row r="1291">
      <c r="B1291" s="14" t="n"/>
    </row>
    <row r="1292">
      <c r="B1292" s="14" t="n"/>
    </row>
    <row r="1293">
      <c r="B1293" s="14" t="n"/>
    </row>
    <row r="1294">
      <c r="B1294" s="14" t="n"/>
    </row>
    <row r="1295">
      <c r="B1295" s="14" t="n"/>
    </row>
    <row r="1296">
      <c r="B1296" s="14" t="n"/>
    </row>
    <row r="1297">
      <c r="B1297" s="14" t="n"/>
    </row>
    <row r="1298">
      <c r="B1298" s="14" t="n"/>
    </row>
    <row r="1299">
      <c r="B1299" s="14" t="n"/>
    </row>
    <row r="1300">
      <c r="B1300" s="14" t="n"/>
    </row>
    <row r="1301">
      <c r="B1301" s="14" t="n"/>
    </row>
    <row r="1302">
      <c r="B1302" s="14" t="n"/>
    </row>
    <row r="1303">
      <c r="B1303" s="14" t="n"/>
    </row>
    <row r="1304">
      <c r="B1304" s="14" t="n"/>
    </row>
    <row r="1305">
      <c r="B1305" s="14" t="n"/>
    </row>
    <row r="1306">
      <c r="B1306" s="14" t="n"/>
    </row>
    <row r="1307">
      <c r="B1307" s="14" t="n"/>
    </row>
    <row r="1308">
      <c r="B1308" s="14" t="n"/>
    </row>
    <row r="1309">
      <c r="B1309" s="14" t="n"/>
    </row>
    <row r="1310">
      <c r="B1310" s="14" t="n"/>
    </row>
    <row r="1311">
      <c r="B1311" s="14" t="n"/>
    </row>
    <row r="1312">
      <c r="B1312" s="14" t="n"/>
    </row>
    <row r="1313">
      <c r="B1313" s="14" t="n"/>
    </row>
    <row r="1314">
      <c r="B1314" s="14" t="n"/>
    </row>
    <row r="1315">
      <c r="B1315" s="14" t="n"/>
    </row>
    <row r="1316">
      <c r="B1316" s="14" t="n"/>
    </row>
    <row r="1317">
      <c r="B1317" s="14" t="n"/>
    </row>
    <row r="1318">
      <c r="B1318" s="14" t="n"/>
    </row>
    <row r="1319">
      <c r="B1319" s="14" t="n"/>
    </row>
    <row r="1320">
      <c r="B1320" s="14" t="n"/>
    </row>
    <row r="1321">
      <c r="B1321" s="14" t="n"/>
    </row>
    <row r="1322">
      <c r="B1322" s="14" t="n"/>
    </row>
    <row r="1323">
      <c r="B1323" s="14" t="n"/>
    </row>
    <row r="1324">
      <c r="B1324" s="14" t="n"/>
    </row>
    <row r="1325">
      <c r="B1325" s="14" t="n"/>
    </row>
    <row r="1326">
      <c r="B1326" s="14" t="n"/>
    </row>
    <row r="1327">
      <c r="B1327" s="14" t="n"/>
    </row>
    <row r="1328">
      <c r="B1328" s="14" t="n"/>
    </row>
    <row r="1329">
      <c r="B1329" s="14" t="n"/>
    </row>
    <row r="1330">
      <c r="B1330" s="14" t="n"/>
    </row>
    <row r="1331">
      <c r="B1331" s="14" t="n"/>
    </row>
    <row r="1332">
      <c r="B1332" s="14" t="n"/>
    </row>
    <row r="1333">
      <c r="B1333" s="14" t="n"/>
    </row>
    <row r="1334">
      <c r="B1334" s="14" t="n"/>
    </row>
    <row r="1335">
      <c r="B1335" s="14" t="n"/>
    </row>
    <row r="1336">
      <c r="B1336" s="14" t="n"/>
    </row>
    <row r="1337">
      <c r="B1337" s="14" t="n"/>
    </row>
    <row r="1338">
      <c r="B1338" s="14" t="n"/>
    </row>
    <row r="1339">
      <c r="B1339" s="14" t="n"/>
    </row>
    <row r="1340">
      <c r="B1340" s="14" t="n"/>
    </row>
    <row r="1341">
      <c r="B1341" s="14" t="n"/>
    </row>
    <row r="1342">
      <c r="B1342" s="14" t="n"/>
    </row>
    <row r="1343">
      <c r="B1343" s="14" t="n"/>
    </row>
    <row r="1344">
      <c r="B1344" s="14" t="n"/>
    </row>
    <row r="1345">
      <c r="B1345" s="14" t="n"/>
    </row>
    <row r="1346">
      <c r="B1346" s="14" t="n"/>
    </row>
    <row r="1347">
      <c r="B1347" s="14" t="n"/>
    </row>
    <row r="1348">
      <c r="B1348" s="14" t="n"/>
    </row>
    <row r="1349">
      <c r="B1349" s="14" t="n"/>
    </row>
    <row r="1350">
      <c r="B1350" s="14" t="n"/>
    </row>
    <row r="1351">
      <c r="B1351" s="14" t="n"/>
    </row>
    <row r="1352">
      <c r="B1352" s="14" t="n"/>
    </row>
    <row r="1353">
      <c r="B1353" s="14" t="n"/>
    </row>
    <row r="1354">
      <c r="B1354" s="14" t="n"/>
    </row>
    <row r="1355">
      <c r="B1355" s="14" t="n"/>
    </row>
    <row r="1356">
      <c r="B1356" s="14" t="n"/>
    </row>
    <row r="1357">
      <c r="B1357" s="14" t="n"/>
    </row>
    <row r="1358">
      <c r="B1358" s="14" t="n"/>
    </row>
    <row r="1359">
      <c r="B1359" s="14" t="n"/>
    </row>
    <row r="1360">
      <c r="B1360" s="14" t="n"/>
    </row>
    <row r="1361">
      <c r="B1361" s="14" t="n"/>
    </row>
    <row r="1362">
      <c r="B1362" s="14" t="n"/>
    </row>
    <row r="1363">
      <c r="B1363" s="14" t="n"/>
    </row>
    <row r="1364">
      <c r="B1364" s="14" t="n"/>
    </row>
    <row r="1365">
      <c r="B1365" s="14" t="n"/>
    </row>
    <row r="1366">
      <c r="B1366" s="14" t="n"/>
    </row>
    <row r="1367">
      <c r="B1367" s="14" t="n"/>
    </row>
    <row r="1368">
      <c r="B1368" s="14" t="n"/>
    </row>
    <row r="1369">
      <c r="B1369" s="14" t="n"/>
    </row>
    <row r="1370">
      <c r="B1370" s="14" t="n"/>
    </row>
    <row r="1371">
      <c r="B1371" s="14" t="n"/>
    </row>
    <row r="1372">
      <c r="B1372" s="14" t="n"/>
    </row>
    <row r="1373">
      <c r="B1373" s="14" t="n"/>
    </row>
    <row r="1374">
      <c r="B1374" s="14" t="n"/>
    </row>
    <row r="1375">
      <c r="B1375" s="14" t="n"/>
    </row>
    <row r="1376">
      <c r="B1376" s="14" t="n"/>
    </row>
    <row r="1377">
      <c r="B1377" s="14" t="n"/>
    </row>
    <row r="1378">
      <c r="B1378" s="14" t="n"/>
    </row>
    <row r="1379">
      <c r="B1379" s="14" t="n"/>
    </row>
    <row r="1380">
      <c r="B1380" s="14" t="n"/>
    </row>
    <row r="1381">
      <c r="B1381" s="14" t="n"/>
    </row>
    <row r="1382">
      <c r="B1382" s="14" t="n"/>
    </row>
    <row r="1383">
      <c r="B1383" s="14" t="n"/>
    </row>
    <row r="1384">
      <c r="B1384" s="14" t="n"/>
    </row>
    <row r="1385">
      <c r="B1385" s="14" t="n"/>
    </row>
    <row r="1386">
      <c r="B1386" s="14" t="n"/>
    </row>
    <row r="1387">
      <c r="B1387" s="14" t="n"/>
    </row>
    <row r="1388">
      <c r="B1388" s="14" t="n"/>
    </row>
    <row r="1389">
      <c r="B1389" s="14" t="n"/>
    </row>
    <row r="1390">
      <c r="B1390" s="14" t="n"/>
    </row>
    <row r="1391">
      <c r="B1391" s="14" t="n"/>
    </row>
    <row r="1392">
      <c r="B1392" s="14" t="n"/>
    </row>
    <row r="1393">
      <c r="B1393" s="14" t="n"/>
    </row>
    <row r="1394">
      <c r="B1394" s="14" t="n"/>
    </row>
    <row r="1395">
      <c r="B1395" s="14" t="n"/>
    </row>
    <row r="1396">
      <c r="B1396" s="14" t="n"/>
    </row>
    <row r="1397">
      <c r="B1397" s="14" t="n"/>
    </row>
    <row r="1398">
      <c r="B1398" s="14" t="n"/>
    </row>
    <row r="1399">
      <c r="B1399" s="14" t="n"/>
    </row>
    <row r="1400">
      <c r="B1400" s="14" t="n"/>
    </row>
    <row r="1401">
      <c r="B1401" s="14" t="n"/>
    </row>
    <row r="1402">
      <c r="B1402" s="14" t="n"/>
    </row>
    <row r="1403">
      <c r="B1403" s="14" t="n"/>
    </row>
    <row r="1404">
      <c r="B1404" s="14" t="n"/>
    </row>
    <row r="1405">
      <c r="B1405" s="14" t="n"/>
    </row>
    <row r="1406">
      <c r="B1406" s="14" t="n"/>
    </row>
    <row r="1407">
      <c r="B1407" s="14" t="n"/>
    </row>
    <row r="1408">
      <c r="B1408" s="14" t="n"/>
    </row>
    <row r="1409">
      <c r="B1409" s="14" t="n"/>
    </row>
    <row r="1410">
      <c r="B1410" s="14" t="n"/>
    </row>
    <row r="1411">
      <c r="B1411" s="14" t="n"/>
    </row>
    <row r="1412">
      <c r="B1412" s="14" t="n"/>
    </row>
    <row r="1413">
      <c r="B1413" s="14" t="n"/>
    </row>
    <row r="1414">
      <c r="B1414" s="14" t="n"/>
    </row>
    <row r="1415">
      <c r="B1415" s="14" t="n"/>
    </row>
    <row r="1416">
      <c r="B1416" s="14" t="n"/>
    </row>
    <row r="1417">
      <c r="B1417" s="14" t="n"/>
    </row>
    <row r="1418">
      <c r="B1418" s="14" t="n"/>
    </row>
    <row r="1419">
      <c r="B1419" s="14" t="n"/>
    </row>
    <row r="1420">
      <c r="B1420" s="14" t="n"/>
    </row>
    <row r="1421">
      <c r="B1421" s="14" t="n"/>
    </row>
    <row r="1422">
      <c r="B1422" s="14" t="n"/>
    </row>
    <row r="1423">
      <c r="B1423" s="14" t="n"/>
    </row>
    <row r="1424">
      <c r="B1424" s="14" t="n"/>
    </row>
    <row r="1425">
      <c r="B1425" s="14" t="n"/>
    </row>
    <row r="1426">
      <c r="B1426" s="14" t="n"/>
    </row>
    <row r="1427">
      <c r="B1427" s="14" t="n"/>
    </row>
    <row r="1428">
      <c r="B1428" s="14" t="n"/>
    </row>
    <row r="1429">
      <c r="B1429" s="14" t="n"/>
    </row>
    <row r="1430">
      <c r="B1430" s="14" t="n"/>
    </row>
    <row r="1431">
      <c r="B1431" s="14" t="n"/>
    </row>
    <row r="1432">
      <c r="B1432" s="14" t="n"/>
    </row>
    <row r="1433">
      <c r="B1433" s="14" t="n"/>
    </row>
    <row r="1434">
      <c r="B1434" s="14" t="n"/>
    </row>
    <row r="1435">
      <c r="B1435" s="14" t="n"/>
    </row>
    <row r="1436">
      <c r="B1436" s="14" t="n"/>
    </row>
    <row r="1437">
      <c r="B1437" s="14" t="n"/>
    </row>
    <row r="1438">
      <c r="B1438" s="14" t="n"/>
    </row>
    <row r="1439">
      <c r="B1439" s="14" t="n"/>
    </row>
    <row r="1440">
      <c r="B1440" s="14" t="n"/>
    </row>
    <row r="1441">
      <c r="B1441" s="14" t="n"/>
    </row>
    <row r="1442">
      <c r="B1442" s="14" t="n"/>
    </row>
    <row r="1443">
      <c r="B1443" s="14" t="n"/>
    </row>
    <row r="1444">
      <c r="B1444" s="14" t="n"/>
    </row>
    <row r="1445">
      <c r="B1445" s="14" t="n"/>
    </row>
    <row r="1446">
      <c r="B1446" s="14" t="n"/>
    </row>
    <row r="1447">
      <c r="B1447" s="14" t="n"/>
    </row>
    <row r="1448">
      <c r="B1448" s="14" t="n"/>
    </row>
    <row r="1449">
      <c r="B1449" s="14" t="n"/>
    </row>
    <row r="1450">
      <c r="B1450" s="14" t="n"/>
    </row>
    <row r="1451">
      <c r="B1451" s="14" t="n"/>
    </row>
    <row r="1452">
      <c r="B1452" s="14" t="n"/>
    </row>
    <row r="1453">
      <c r="B1453" s="14" t="n"/>
    </row>
    <row r="1454">
      <c r="B1454" s="14" t="n"/>
    </row>
    <row r="1455">
      <c r="B1455" s="14" t="n"/>
    </row>
    <row r="1456">
      <c r="B1456" s="14" t="n"/>
    </row>
    <row r="1457">
      <c r="B1457" s="14" t="n"/>
    </row>
    <row r="1458">
      <c r="B1458" s="14" t="n"/>
    </row>
    <row r="1459">
      <c r="B1459" s="14" t="n"/>
    </row>
    <row r="1460">
      <c r="B1460" s="14" t="n"/>
    </row>
    <row r="1461">
      <c r="B1461" s="14" t="n"/>
    </row>
    <row r="1462">
      <c r="B1462" s="14" t="n"/>
    </row>
    <row r="1463">
      <c r="B1463" s="14" t="n"/>
    </row>
    <row r="1464">
      <c r="B1464" s="14" t="n"/>
    </row>
    <row r="1465">
      <c r="B1465" s="14" t="n"/>
    </row>
    <row r="1466">
      <c r="B1466" s="14" t="n"/>
    </row>
    <row r="1467">
      <c r="B1467" s="14" t="n"/>
    </row>
    <row r="1468">
      <c r="B1468" s="14" t="n"/>
    </row>
    <row r="1469">
      <c r="B1469" s="14" t="n"/>
    </row>
    <row r="1470">
      <c r="B1470" s="14" t="n"/>
    </row>
    <row r="1471">
      <c r="B1471" s="14" t="n"/>
    </row>
    <row r="1472">
      <c r="B1472" s="14" t="n"/>
    </row>
    <row r="1473">
      <c r="B1473" s="14" t="n"/>
    </row>
    <row r="1474">
      <c r="B1474" s="14" t="n"/>
    </row>
    <row r="1475">
      <c r="B1475" s="14" t="n"/>
    </row>
    <row r="1476">
      <c r="B1476" s="14" t="n"/>
    </row>
    <row r="1477">
      <c r="B1477" s="14" t="n"/>
    </row>
    <row r="1478">
      <c r="B1478" s="14" t="n"/>
    </row>
    <row r="1479">
      <c r="B1479" s="14" t="n"/>
    </row>
    <row r="1480">
      <c r="B1480" s="14" t="n"/>
    </row>
    <row r="1481">
      <c r="B1481" s="14" t="n"/>
    </row>
    <row r="1482">
      <c r="B1482" s="14" t="n"/>
    </row>
    <row r="1483">
      <c r="B1483" s="14" t="n"/>
    </row>
    <row r="1484">
      <c r="B1484" s="14" t="n"/>
    </row>
    <row r="1485">
      <c r="B1485" s="14" t="n"/>
    </row>
    <row r="1486">
      <c r="B1486" s="14" t="n"/>
    </row>
    <row r="1487">
      <c r="B1487" s="14" t="n"/>
    </row>
    <row r="1488">
      <c r="B1488" s="14" t="n"/>
    </row>
    <row r="1489">
      <c r="B1489" s="14" t="n"/>
    </row>
    <row r="1490">
      <c r="B1490" s="14" t="n"/>
    </row>
    <row r="1491">
      <c r="B1491" s="14" t="n"/>
    </row>
    <row r="1492">
      <c r="B1492" s="14" t="n"/>
    </row>
    <row r="1493">
      <c r="B1493" s="14" t="n"/>
    </row>
    <row r="1494">
      <c r="B1494" s="14" t="n"/>
    </row>
    <row r="1495">
      <c r="B1495" s="14" t="n"/>
    </row>
    <row r="1496">
      <c r="B1496" s="14" t="n"/>
    </row>
    <row r="1497">
      <c r="B1497" s="14" t="n"/>
    </row>
    <row r="1498">
      <c r="B1498" s="14" t="n"/>
    </row>
    <row r="1499">
      <c r="B1499" s="14" t="n"/>
    </row>
    <row r="1500">
      <c r="B1500" s="14" t="n"/>
    </row>
    <row r="1501">
      <c r="B1501" s="14" t="n"/>
    </row>
    <row r="1502">
      <c r="B1502" s="14" t="n"/>
    </row>
    <row r="1503">
      <c r="B1503" s="14" t="n"/>
    </row>
    <row r="1504">
      <c r="B1504" s="14" t="n"/>
    </row>
    <row r="1505">
      <c r="B1505" s="14" t="n"/>
    </row>
    <row r="1506">
      <c r="B1506" s="14" t="n"/>
    </row>
    <row r="1507">
      <c r="B1507" s="14" t="n"/>
    </row>
    <row r="1508">
      <c r="B1508" s="14" t="n"/>
    </row>
    <row r="1509">
      <c r="B1509" s="14" t="n"/>
    </row>
    <row r="1510">
      <c r="B1510" s="14" t="n"/>
    </row>
    <row r="1511">
      <c r="B1511" s="14" t="n"/>
    </row>
    <row r="1512">
      <c r="B1512" s="14" t="n"/>
    </row>
    <row r="1513">
      <c r="B1513" s="14" t="n"/>
    </row>
    <row r="1514">
      <c r="B1514" s="14" t="n"/>
    </row>
    <row r="1515">
      <c r="B1515" s="14" t="n"/>
    </row>
    <row r="1516">
      <c r="B1516" s="14" t="n"/>
    </row>
    <row r="1517">
      <c r="B1517" s="14" t="n"/>
    </row>
    <row r="1518">
      <c r="B1518" s="14" t="n"/>
    </row>
    <row r="1519">
      <c r="B1519" s="14" t="n"/>
    </row>
    <row r="1520">
      <c r="B1520" s="14" t="n"/>
    </row>
    <row r="1521">
      <c r="B1521" s="14" t="n"/>
    </row>
    <row r="1522">
      <c r="B1522" s="14" t="n"/>
    </row>
    <row r="1523">
      <c r="B1523" s="14" t="n"/>
    </row>
    <row r="1524">
      <c r="B1524" s="14" t="n"/>
    </row>
    <row r="1525">
      <c r="B1525" s="14" t="n"/>
    </row>
    <row r="1526">
      <c r="B1526" s="14" t="n"/>
    </row>
    <row r="1527">
      <c r="B1527" s="14" t="n"/>
    </row>
    <row r="1528">
      <c r="B1528" s="14" t="n"/>
    </row>
    <row r="1529">
      <c r="B1529" s="14" t="n"/>
    </row>
    <row r="1530">
      <c r="B1530" s="14" t="n"/>
    </row>
    <row r="1531">
      <c r="B1531" s="14" t="n"/>
    </row>
    <row r="1532">
      <c r="B1532" s="14" t="n"/>
    </row>
    <row r="1533">
      <c r="B1533" s="14" t="n"/>
    </row>
    <row r="1534">
      <c r="B1534" s="14" t="n"/>
    </row>
    <row r="1535">
      <c r="B1535" s="14" t="n"/>
    </row>
    <row r="1536">
      <c r="B1536" s="14" t="n"/>
    </row>
    <row r="1537">
      <c r="B1537" s="14" t="n"/>
    </row>
    <row r="1538">
      <c r="B1538" s="14" t="n"/>
    </row>
    <row r="1539">
      <c r="B1539" s="14" t="n"/>
    </row>
    <row r="1540">
      <c r="B1540" s="14" t="n"/>
    </row>
    <row r="1541">
      <c r="B1541" s="14" t="n"/>
    </row>
    <row r="1542">
      <c r="B1542" s="14" t="n"/>
    </row>
    <row r="1543">
      <c r="B1543" s="14" t="n"/>
    </row>
    <row r="1544">
      <c r="B1544" s="14" t="n"/>
    </row>
    <row r="1545">
      <c r="B1545" s="14" t="n"/>
    </row>
    <row r="1546">
      <c r="B1546" s="14" t="n"/>
    </row>
    <row r="1547">
      <c r="B1547" s="14" t="n"/>
    </row>
    <row r="1548">
      <c r="B1548" s="14" t="n"/>
    </row>
    <row r="1549">
      <c r="B1549" s="14" t="n"/>
    </row>
    <row r="1550">
      <c r="B1550" s="14" t="n"/>
    </row>
    <row r="1551">
      <c r="B1551" s="14" t="n"/>
    </row>
    <row r="1552">
      <c r="B1552" s="14" t="n"/>
    </row>
    <row r="1553">
      <c r="B1553" s="14" t="n"/>
    </row>
    <row r="1554">
      <c r="B1554" s="14" t="n"/>
    </row>
    <row r="1555">
      <c r="B1555" s="14" t="n"/>
    </row>
    <row r="1556">
      <c r="B1556" s="14" t="n"/>
    </row>
    <row r="1557">
      <c r="B1557" s="14" t="n"/>
    </row>
    <row r="1558">
      <c r="B1558" s="14" t="n"/>
    </row>
    <row r="1559">
      <c r="B1559" s="14" t="n"/>
    </row>
    <row r="1560">
      <c r="B1560" s="14" t="n"/>
    </row>
    <row r="1561">
      <c r="B1561" s="14" t="n"/>
    </row>
    <row r="1562">
      <c r="B1562" s="14" t="n"/>
    </row>
    <row r="1563">
      <c r="B1563" s="14" t="n"/>
    </row>
    <row r="1564">
      <c r="B1564" s="14" t="n"/>
    </row>
    <row r="1565">
      <c r="B1565" s="14" t="n"/>
    </row>
    <row r="1566">
      <c r="B1566" s="14" t="n"/>
    </row>
    <row r="1567">
      <c r="B1567" s="14" t="n"/>
    </row>
    <row r="1568">
      <c r="B1568" s="14" t="n"/>
    </row>
    <row r="1569">
      <c r="B1569" s="14" t="n"/>
    </row>
    <row r="1570">
      <c r="B1570" s="14" t="n"/>
    </row>
    <row r="1571">
      <c r="B1571" s="14" t="n"/>
    </row>
    <row r="1572">
      <c r="B1572" s="14" t="n"/>
    </row>
    <row r="1573">
      <c r="B1573" s="14" t="n"/>
    </row>
    <row r="1574">
      <c r="B1574" s="14" t="n"/>
    </row>
    <row r="1575">
      <c r="B1575" s="14" t="n"/>
    </row>
    <row r="1576">
      <c r="B1576" s="14" t="n"/>
    </row>
    <row r="1577">
      <c r="B1577" s="14" t="n"/>
    </row>
    <row r="1578">
      <c r="B1578" s="14" t="n"/>
    </row>
    <row r="1579">
      <c r="B1579" s="14" t="n"/>
    </row>
    <row r="1580">
      <c r="B1580" s="14" t="n"/>
    </row>
    <row r="1581">
      <c r="B1581" s="14" t="n"/>
    </row>
    <row r="1582">
      <c r="B1582" s="14" t="n"/>
    </row>
    <row r="1583">
      <c r="B1583" s="14" t="n"/>
    </row>
    <row r="1584">
      <c r="B1584" s="14" t="n"/>
    </row>
    <row r="1585">
      <c r="B1585" s="14" t="n"/>
    </row>
    <row r="1586">
      <c r="B1586" s="14" t="n"/>
    </row>
    <row r="1587">
      <c r="B1587" s="14" t="n"/>
    </row>
    <row r="1588">
      <c r="B1588" s="14" t="n"/>
    </row>
    <row r="1589">
      <c r="B1589" s="14" t="n"/>
    </row>
    <row r="1590">
      <c r="B1590" s="14" t="n"/>
    </row>
    <row r="1591">
      <c r="B1591" s="14" t="n"/>
    </row>
    <row r="1592">
      <c r="B1592" s="14" t="n"/>
    </row>
    <row r="1593">
      <c r="B1593" s="14" t="n"/>
    </row>
    <row r="1594">
      <c r="B1594" s="14" t="n"/>
    </row>
    <row r="1595">
      <c r="B1595" s="14" t="n"/>
    </row>
    <row r="1596">
      <c r="B1596" s="14" t="n"/>
    </row>
    <row r="1597">
      <c r="B1597" s="14" t="n"/>
    </row>
    <row r="1598">
      <c r="B1598" s="14" t="n"/>
    </row>
    <row r="1599">
      <c r="B1599" s="14" t="n"/>
    </row>
    <row r="1600">
      <c r="B1600" s="14" t="n"/>
    </row>
    <row r="1601">
      <c r="B1601" s="14" t="n"/>
    </row>
    <row r="1602">
      <c r="B1602" s="14" t="n"/>
    </row>
    <row r="1603">
      <c r="B1603" s="14" t="n"/>
    </row>
    <row r="1604">
      <c r="B1604" s="14" t="n"/>
    </row>
    <row r="1605">
      <c r="B1605" s="14" t="n"/>
    </row>
    <row r="1606">
      <c r="B1606" s="14" t="n"/>
    </row>
    <row r="1607">
      <c r="B1607" s="14" t="n"/>
    </row>
    <row r="1608">
      <c r="B1608" s="14" t="n"/>
    </row>
    <row r="1609">
      <c r="B1609" s="14" t="n"/>
    </row>
    <row r="1610">
      <c r="B1610" s="14" t="n"/>
    </row>
    <row r="1611">
      <c r="B1611" s="14" t="n"/>
    </row>
    <row r="1612">
      <c r="B1612" s="14" t="n"/>
    </row>
    <row r="1613">
      <c r="B1613" s="14" t="n"/>
    </row>
    <row r="1614">
      <c r="B1614" s="14" t="n"/>
    </row>
    <row r="1615">
      <c r="B1615" s="14" t="n"/>
    </row>
    <row r="1616">
      <c r="B1616" s="14" t="n"/>
    </row>
    <row r="1617">
      <c r="B1617" s="14" t="n"/>
    </row>
    <row r="1618">
      <c r="B1618" s="14" t="n"/>
    </row>
    <row r="1619">
      <c r="B1619" s="14" t="n"/>
    </row>
    <row r="1620">
      <c r="B1620" s="14" t="n"/>
    </row>
    <row r="1621">
      <c r="B1621" s="14" t="n"/>
    </row>
    <row r="1622">
      <c r="B1622" s="14" t="n"/>
    </row>
    <row r="1623">
      <c r="B1623" s="14" t="n"/>
    </row>
    <row r="1624">
      <c r="B1624" s="14" t="n"/>
    </row>
    <row r="1625">
      <c r="B1625" s="14" t="n"/>
    </row>
    <row r="1626">
      <c r="B1626" s="14" t="n"/>
    </row>
    <row r="1627">
      <c r="B1627" s="14" t="n"/>
    </row>
    <row r="1628">
      <c r="B1628" s="14" t="n"/>
    </row>
    <row r="1629">
      <c r="B1629" s="14" t="n"/>
    </row>
    <row r="1630">
      <c r="B1630" s="14" t="n"/>
    </row>
    <row r="1631">
      <c r="B1631" s="14" t="n"/>
    </row>
    <row r="1632">
      <c r="B1632" s="14" t="n"/>
    </row>
    <row r="1633">
      <c r="B1633" s="14" t="n"/>
    </row>
    <row r="1634">
      <c r="B1634" s="14" t="n"/>
    </row>
    <row r="1635">
      <c r="B1635" s="14" t="n"/>
    </row>
    <row r="1636">
      <c r="B1636" s="14" t="n"/>
    </row>
    <row r="1637">
      <c r="B1637" s="14" t="n"/>
    </row>
    <row r="1638">
      <c r="B1638" s="14" t="n"/>
    </row>
    <row r="1639">
      <c r="B1639" s="14" t="n"/>
    </row>
    <row r="1640">
      <c r="B1640" s="14" t="n"/>
    </row>
    <row r="1641">
      <c r="B1641" s="14" t="n"/>
    </row>
    <row r="1642">
      <c r="B1642" s="14" t="n"/>
    </row>
    <row r="1643">
      <c r="B1643" s="14" t="n"/>
    </row>
    <row r="1644">
      <c r="B1644" s="14" t="n"/>
    </row>
    <row r="1645">
      <c r="B1645" s="14" t="n"/>
    </row>
    <row r="1646">
      <c r="B1646" s="14" t="n"/>
    </row>
    <row r="1647">
      <c r="B1647" s="14" t="n"/>
    </row>
    <row r="1648">
      <c r="B1648" s="14" t="n"/>
    </row>
    <row r="1649">
      <c r="B1649" s="14" t="n"/>
    </row>
    <row r="1650">
      <c r="B1650" s="14" t="n"/>
    </row>
    <row r="1651">
      <c r="B1651" s="14" t="n"/>
    </row>
    <row r="1652">
      <c r="B1652" s="14" t="n"/>
    </row>
    <row r="1653">
      <c r="B1653" s="14" t="n"/>
    </row>
    <row r="1654">
      <c r="B1654" s="14" t="n"/>
    </row>
    <row r="1655">
      <c r="B1655" s="14" t="n"/>
    </row>
    <row r="1656">
      <c r="B1656" s="14" t="n"/>
    </row>
    <row r="1657">
      <c r="B1657" s="14" t="n"/>
    </row>
    <row r="1658">
      <c r="B1658" s="14" t="n"/>
    </row>
    <row r="1659">
      <c r="B1659" s="14" t="n"/>
    </row>
    <row r="1660">
      <c r="B1660" s="14" t="n"/>
    </row>
    <row r="1661">
      <c r="B1661" s="14" t="n"/>
    </row>
    <row r="1662">
      <c r="B1662" s="14" t="n"/>
    </row>
    <row r="1663">
      <c r="B1663" s="14" t="n"/>
    </row>
    <row r="1664">
      <c r="B1664" s="14" t="n"/>
    </row>
    <row r="1665">
      <c r="B1665" s="14" t="n"/>
    </row>
    <row r="1666">
      <c r="B1666" s="14" t="n"/>
    </row>
    <row r="1667">
      <c r="B1667" s="14" t="n"/>
    </row>
    <row r="1668">
      <c r="B1668" s="14" t="n"/>
    </row>
    <row r="1669">
      <c r="B1669" s="14" t="n"/>
    </row>
    <row r="1670">
      <c r="B1670" s="14" t="n"/>
    </row>
    <row r="1671">
      <c r="B1671" s="14" t="n"/>
    </row>
    <row r="1672">
      <c r="B1672" s="14" t="n"/>
    </row>
    <row r="1673">
      <c r="B1673" s="14" t="n"/>
    </row>
    <row r="1674">
      <c r="B1674" s="14" t="n"/>
    </row>
    <row r="1675">
      <c r="B1675" s="14" t="n"/>
    </row>
    <row r="1676">
      <c r="B1676" s="14" t="n"/>
    </row>
    <row r="1677">
      <c r="B1677" s="14" t="n"/>
    </row>
    <row r="1678">
      <c r="B1678" s="14" t="n"/>
    </row>
    <row r="1679">
      <c r="B1679" s="14" t="n"/>
    </row>
    <row r="1680">
      <c r="B1680" s="14" t="n"/>
    </row>
    <row r="1681">
      <c r="B1681" s="14" t="n"/>
    </row>
    <row r="1682">
      <c r="B1682" s="14" t="n"/>
    </row>
    <row r="1683">
      <c r="B1683" s="14" t="n"/>
    </row>
    <row r="1684">
      <c r="B1684" s="14" t="n"/>
    </row>
    <row r="1685">
      <c r="B1685" s="14" t="n"/>
    </row>
    <row r="1686">
      <c r="B1686" s="14" t="n"/>
    </row>
    <row r="1687">
      <c r="B1687" s="14" t="n"/>
    </row>
    <row r="1688">
      <c r="B1688" s="14" t="n"/>
    </row>
    <row r="1689">
      <c r="B1689" s="14" t="n"/>
    </row>
    <row r="1690">
      <c r="B1690" s="14" t="n"/>
    </row>
    <row r="1691">
      <c r="B1691" s="14" t="n"/>
    </row>
    <row r="1692">
      <c r="B1692" s="14" t="n"/>
    </row>
    <row r="1693">
      <c r="B1693" s="14" t="n"/>
    </row>
    <row r="1694">
      <c r="B1694" s="14" t="n"/>
    </row>
    <row r="1695">
      <c r="B1695" s="14" t="n"/>
    </row>
    <row r="1696">
      <c r="B1696" s="14" t="n"/>
    </row>
    <row r="1697">
      <c r="B1697" s="14" t="n"/>
    </row>
    <row r="1698">
      <c r="B1698" s="14" t="n"/>
    </row>
    <row r="1699">
      <c r="B1699" s="14" t="n"/>
    </row>
    <row r="1700">
      <c r="B1700" s="14" t="n"/>
    </row>
    <row r="1701">
      <c r="B1701" s="14" t="n"/>
    </row>
    <row r="1702">
      <c r="B1702" s="14" t="n"/>
    </row>
    <row r="1703">
      <c r="B1703" s="14" t="n"/>
    </row>
    <row r="1704">
      <c r="B1704" s="14" t="n"/>
    </row>
    <row r="1705">
      <c r="B1705" s="14" t="n"/>
    </row>
    <row r="1706">
      <c r="B1706" s="14" t="n"/>
    </row>
    <row r="1707">
      <c r="B1707" s="14" t="n"/>
    </row>
    <row r="1708">
      <c r="B1708" s="14" t="n"/>
    </row>
    <row r="1709">
      <c r="B1709" s="14" t="n"/>
    </row>
    <row r="1710">
      <c r="B1710" s="14" t="n"/>
    </row>
    <row r="1711">
      <c r="B1711" s="14" t="n"/>
    </row>
    <row r="1712">
      <c r="B1712" s="14" t="n"/>
    </row>
    <row r="1713">
      <c r="B1713" s="14" t="n"/>
    </row>
    <row r="1714">
      <c r="B1714" s="14" t="n"/>
    </row>
    <row r="1715">
      <c r="B1715" s="14" t="n"/>
    </row>
    <row r="1716">
      <c r="B1716" s="14" t="n"/>
    </row>
    <row r="1717">
      <c r="B1717" s="14" t="n"/>
    </row>
    <row r="1718">
      <c r="B1718" s="14" t="n"/>
    </row>
    <row r="1719">
      <c r="B1719" s="14" t="n"/>
    </row>
    <row r="1720">
      <c r="B1720" s="14" t="n"/>
    </row>
    <row r="1721">
      <c r="B1721" s="14" t="n"/>
    </row>
    <row r="1722">
      <c r="B1722" s="14" t="n"/>
    </row>
    <row r="1723">
      <c r="B1723" s="14" t="n"/>
    </row>
    <row r="1724">
      <c r="B1724" s="14" t="n"/>
    </row>
    <row r="1725">
      <c r="B1725" s="14" t="n"/>
    </row>
    <row r="1726">
      <c r="B1726" s="14" t="n"/>
    </row>
    <row r="1727">
      <c r="B1727" s="14" t="n"/>
    </row>
    <row r="1728">
      <c r="B1728" s="14" t="n"/>
    </row>
    <row r="1729">
      <c r="B1729" s="14" t="n"/>
    </row>
    <row r="1730">
      <c r="B1730" s="14" t="n"/>
    </row>
    <row r="1731">
      <c r="B1731" s="14" t="n"/>
    </row>
    <row r="1732">
      <c r="B1732" s="14" t="n"/>
    </row>
    <row r="1733">
      <c r="B1733" s="14" t="n"/>
    </row>
    <row r="1734">
      <c r="B1734" s="14" t="n"/>
    </row>
    <row r="1735">
      <c r="B1735" s="14" t="n"/>
    </row>
    <row r="1736">
      <c r="B1736" s="14" t="n"/>
    </row>
    <row r="1737">
      <c r="B1737" s="14" t="n"/>
    </row>
    <row r="1738">
      <c r="B1738" s="14" t="n"/>
    </row>
    <row r="1739">
      <c r="B1739" s="14" t="n"/>
    </row>
    <row r="1740">
      <c r="B1740" s="14" t="n"/>
    </row>
    <row r="1741">
      <c r="B1741" s="14" t="n"/>
    </row>
    <row r="1742">
      <c r="B1742" s="14" t="n"/>
    </row>
    <row r="1743">
      <c r="B1743" s="14" t="n"/>
    </row>
    <row r="1744">
      <c r="B1744" s="14" t="n"/>
    </row>
    <row r="1745">
      <c r="B1745" s="14" t="n"/>
    </row>
    <row r="1746">
      <c r="B1746" s="14" t="n"/>
    </row>
    <row r="1747">
      <c r="B1747" s="14" t="n"/>
    </row>
    <row r="1748">
      <c r="B1748" s="14" t="n"/>
    </row>
    <row r="1749">
      <c r="B1749" s="14" t="n"/>
    </row>
    <row r="1750">
      <c r="B1750" s="14" t="n"/>
    </row>
    <row r="1751">
      <c r="B1751" s="14" t="n"/>
    </row>
    <row r="1752">
      <c r="B1752" s="14" t="n"/>
    </row>
    <row r="1753">
      <c r="B1753" s="14" t="n"/>
    </row>
    <row r="1754">
      <c r="B1754" s="14" t="n"/>
    </row>
    <row r="1755">
      <c r="B1755" s="14" t="n"/>
    </row>
    <row r="1756">
      <c r="B1756" s="14" t="n"/>
    </row>
    <row r="1757">
      <c r="B1757" s="14" t="n"/>
    </row>
    <row r="1758">
      <c r="B1758" s="14" t="n"/>
    </row>
    <row r="1759">
      <c r="B1759" s="14" t="n"/>
    </row>
    <row r="1760">
      <c r="B1760" s="14" t="n"/>
    </row>
    <row r="1761">
      <c r="B1761" s="14" t="n"/>
    </row>
    <row r="1762">
      <c r="B1762" s="14" t="n"/>
    </row>
    <row r="1763">
      <c r="B1763" s="14" t="n"/>
    </row>
    <row r="1764">
      <c r="B1764" s="14" t="n"/>
    </row>
    <row r="1765">
      <c r="B1765" s="14" t="n"/>
    </row>
    <row r="1766">
      <c r="B1766" s="14" t="n"/>
    </row>
    <row r="1767">
      <c r="B1767" s="14" t="n"/>
    </row>
    <row r="1768">
      <c r="B1768" s="14" t="n"/>
    </row>
    <row r="1769">
      <c r="B1769" s="14" t="n"/>
    </row>
    <row r="1770">
      <c r="B1770" s="14" t="n"/>
    </row>
    <row r="1771">
      <c r="B1771" s="14" t="n"/>
    </row>
    <row r="1772">
      <c r="B1772" s="14" t="n"/>
    </row>
    <row r="1773">
      <c r="B1773" s="14" t="n"/>
    </row>
    <row r="1774">
      <c r="B1774" s="14" t="n"/>
    </row>
    <row r="1775">
      <c r="B1775" s="14" t="n"/>
    </row>
    <row r="1776">
      <c r="B1776" s="14" t="n"/>
    </row>
    <row r="1777">
      <c r="B1777" s="14" t="n"/>
    </row>
    <row r="1778">
      <c r="B1778" s="14" t="n"/>
    </row>
    <row r="1779">
      <c r="B1779" s="14" t="n"/>
    </row>
    <row r="1780">
      <c r="B1780" s="14" t="n"/>
    </row>
    <row r="1781">
      <c r="B1781" s="14" t="n"/>
    </row>
    <row r="1782">
      <c r="B1782" s="14" t="n"/>
    </row>
    <row r="1783">
      <c r="B1783" s="14" t="n"/>
    </row>
    <row r="1784">
      <c r="B1784" s="14" t="n"/>
    </row>
    <row r="1785">
      <c r="B1785" s="14" t="n"/>
    </row>
    <row r="1786">
      <c r="B1786" s="14" t="n"/>
    </row>
    <row r="1787">
      <c r="B1787" s="14" t="n"/>
    </row>
    <row r="1788">
      <c r="B1788" s="14" t="n"/>
    </row>
    <row r="1789">
      <c r="B1789" s="14" t="n"/>
    </row>
    <row r="1790">
      <c r="B1790" s="14" t="n"/>
    </row>
    <row r="1791">
      <c r="B1791" s="14" t="n"/>
    </row>
    <row r="1792">
      <c r="B1792" s="14" t="n"/>
    </row>
    <row r="1793">
      <c r="B1793" s="14" t="n"/>
    </row>
    <row r="1794">
      <c r="B1794" s="14" t="n"/>
    </row>
    <row r="1795">
      <c r="B1795" s="14" t="n"/>
    </row>
    <row r="1796">
      <c r="B1796" s="14" t="n"/>
    </row>
    <row r="1797">
      <c r="B1797" s="14" t="n"/>
    </row>
    <row r="1798">
      <c r="B1798" s="14" t="n"/>
    </row>
    <row r="1799">
      <c r="B1799" s="14" t="n"/>
    </row>
    <row r="1800">
      <c r="B1800" s="14" t="n"/>
    </row>
    <row r="1801">
      <c r="B1801" s="14" t="n"/>
    </row>
    <row r="1802">
      <c r="B1802" s="14" t="n"/>
    </row>
    <row r="1803">
      <c r="B1803" s="14" t="n"/>
    </row>
    <row r="1804">
      <c r="B1804" s="14" t="n"/>
    </row>
    <row r="1805">
      <c r="B1805" s="14" t="n"/>
    </row>
    <row r="1806">
      <c r="B1806" s="14" t="n"/>
    </row>
    <row r="1807">
      <c r="B1807" s="14" t="n"/>
    </row>
    <row r="1808">
      <c r="B1808" s="14" t="n"/>
    </row>
    <row r="1809">
      <c r="B1809" s="14" t="n"/>
    </row>
    <row r="1810">
      <c r="B1810" s="14" t="n"/>
    </row>
    <row r="1811">
      <c r="B1811" s="14" t="n"/>
    </row>
    <row r="1812">
      <c r="B1812" s="14" t="n"/>
    </row>
    <row r="1813">
      <c r="B1813" s="14" t="n"/>
    </row>
    <row r="1814">
      <c r="B1814" s="14" t="n"/>
    </row>
    <row r="1815">
      <c r="B1815" s="14" t="n"/>
    </row>
    <row r="1816">
      <c r="B1816" s="14" t="n"/>
    </row>
    <row r="1817">
      <c r="B1817" s="14" t="n"/>
    </row>
    <row r="1818">
      <c r="B1818" s="14" t="n"/>
    </row>
    <row r="1819">
      <c r="B1819" s="14" t="n"/>
    </row>
    <row r="1820">
      <c r="B1820" s="14" t="n"/>
    </row>
    <row r="1821">
      <c r="B1821" s="14" t="n"/>
    </row>
    <row r="1822">
      <c r="B1822" s="14" t="n"/>
    </row>
    <row r="1823">
      <c r="B1823" s="14" t="n"/>
    </row>
    <row r="1824">
      <c r="B1824" s="14" t="n"/>
    </row>
    <row r="1825">
      <c r="B1825" s="14" t="n"/>
    </row>
    <row r="1826">
      <c r="B1826" s="14" t="n"/>
    </row>
    <row r="1827">
      <c r="B1827" s="14" t="n"/>
    </row>
    <row r="1828">
      <c r="B1828" s="14" t="n"/>
    </row>
    <row r="1829">
      <c r="B1829" s="14" t="n"/>
    </row>
    <row r="1830">
      <c r="B1830" s="14" t="n"/>
    </row>
    <row r="1831">
      <c r="B1831" s="14" t="n"/>
    </row>
    <row r="1832">
      <c r="B1832" s="14" t="n"/>
    </row>
    <row r="1833">
      <c r="B1833" s="14" t="n"/>
    </row>
    <row r="1834">
      <c r="B1834" s="14" t="n"/>
    </row>
    <row r="1835">
      <c r="B1835" s="14" t="n"/>
    </row>
    <row r="1836">
      <c r="B1836" s="14" t="n"/>
    </row>
    <row r="1837">
      <c r="B1837" s="14" t="n"/>
    </row>
    <row r="1838">
      <c r="B1838" s="14" t="n"/>
    </row>
    <row r="1839">
      <c r="B1839" s="14" t="n"/>
    </row>
    <row r="1840">
      <c r="B1840" s="14" t="n"/>
    </row>
    <row r="1841">
      <c r="B1841" s="14" t="n"/>
    </row>
    <row r="1842">
      <c r="B1842" s="14" t="n"/>
    </row>
    <row r="1843">
      <c r="B1843" s="14" t="n"/>
    </row>
    <row r="1844">
      <c r="B1844" s="14" t="n"/>
    </row>
    <row r="1845">
      <c r="B1845" s="14" t="n"/>
    </row>
    <row r="1846">
      <c r="B1846" s="14" t="n"/>
    </row>
    <row r="1847">
      <c r="B1847" s="14" t="n"/>
    </row>
    <row r="1848">
      <c r="B1848" s="14" t="n"/>
    </row>
    <row r="1849">
      <c r="B1849" s="14" t="n"/>
    </row>
    <row r="1850">
      <c r="B1850" s="14" t="n"/>
    </row>
    <row r="1851">
      <c r="B1851" s="14" t="n"/>
    </row>
    <row r="1852">
      <c r="B1852" s="14" t="n"/>
    </row>
    <row r="1853">
      <c r="B1853" s="14" t="n"/>
    </row>
    <row r="1854">
      <c r="B1854" s="14" t="n"/>
    </row>
    <row r="1855">
      <c r="B1855" s="14" t="n"/>
    </row>
    <row r="1856">
      <c r="B1856" s="14" t="n"/>
    </row>
    <row r="1857">
      <c r="B1857" s="14" t="n"/>
    </row>
    <row r="1858">
      <c r="B1858" s="14" t="n"/>
    </row>
    <row r="1859">
      <c r="B1859" s="14" t="n"/>
    </row>
    <row r="1860">
      <c r="B1860" s="14" t="n"/>
    </row>
    <row r="1861">
      <c r="B1861" s="14" t="n"/>
    </row>
    <row r="1862">
      <c r="B1862" s="14" t="n"/>
    </row>
    <row r="1863">
      <c r="B1863" s="14" t="n"/>
    </row>
    <row r="1864">
      <c r="B1864" s="14" t="n"/>
    </row>
    <row r="1865">
      <c r="B1865" s="14" t="n"/>
    </row>
    <row r="1866">
      <c r="B1866" s="14" t="n"/>
    </row>
    <row r="1867">
      <c r="B1867" s="14" t="n"/>
    </row>
    <row r="1868">
      <c r="B1868" s="14" t="n"/>
    </row>
    <row r="1869">
      <c r="B1869" s="14" t="n"/>
    </row>
    <row r="1870">
      <c r="B1870" s="14" t="n"/>
    </row>
    <row r="1871">
      <c r="B1871" s="14" t="n"/>
    </row>
    <row r="1872">
      <c r="B1872" s="14" t="n"/>
    </row>
    <row r="1873">
      <c r="B1873" s="14" t="n"/>
    </row>
    <row r="1874">
      <c r="B1874" s="14" t="n"/>
    </row>
    <row r="1875">
      <c r="B1875" s="14" t="n"/>
    </row>
    <row r="1876">
      <c r="B1876" s="14" t="n"/>
    </row>
    <row r="1877">
      <c r="B1877" s="14" t="n"/>
    </row>
    <row r="1878">
      <c r="B1878" s="14" t="n"/>
    </row>
    <row r="1879">
      <c r="B1879" s="14" t="n"/>
    </row>
    <row r="1880">
      <c r="B1880" s="14" t="n"/>
    </row>
    <row r="1881">
      <c r="B1881" s="14" t="n"/>
    </row>
    <row r="1882">
      <c r="B1882" s="14" t="n"/>
    </row>
    <row r="1883">
      <c r="B1883" s="14" t="n"/>
    </row>
    <row r="1884">
      <c r="B1884" s="14" t="n"/>
    </row>
    <row r="1885">
      <c r="B1885" s="14" t="n"/>
    </row>
    <row r="1886">
      <c r="B1886" s="14" t="n"/>
    </row>
    <row r="1887">
      <c r="B1887" s="14" t="n"/>
    </row>
    <row r="1888">
      <c r="B1888" s="14" t="n"/>
    </row>
    <row r="1889">
      <c r="B1889" s="14" t="n"/>
    </row>
    <row r="1890">
      <c r="B1890" s="14" t="n"/>
    </row>
    <row r="1891">
      <c r="B1891" s="14" t="n"/>
    </row>
    <row r="1892">
      <c r="B1892" s="14" t="n"/>
    </row>
    <row r="1893">
      <c r="B1893" s="14" t="n"/>
    </row>
    <row r="1894">
      <c r="B1894" s="14" t="n"/>
    </row>
    <row r="1895">
      <c r="B1895" s="14" t="n"/>
    </row>
    <row r="1896">
      <c r="B1896" s="14" t="n"/>
    </row>
    <row r="1897">
      <c r="B1897" s="14" t="n"/>
    </row>
    <row r="1898">
      <c r="B1898" s="14" t="n"/>
    </row>
    <row r="1899">
      <c r="B1899" s="14" t="n"/>
    </row>
    <row r="1900">
      <c r="B1900" s="14" t="n"/>
    </row>
    <row r="1901">
      <c r="B1901" s="14" t="n"/>
    </row>
    <row r="1902">
      <c r="B1902" s="14" t="n"/>
    </row>
    <row r="1903">
      <c r="B1903" s="14" t="n"/>
    </row>
    <row r="1904">
      <c r="B1904" s="14" t="n"/>
    </row>
    <row r="1905">
      <c r="B1905" s="14" t="n"/>
    </row>
    <row r="1906">
      <c r="B1906" s="14" t="n"/>
    </row>
    <row r="1907">
      <c r="B1907" s="14" t="n"/>
    </row>
    <row r="1908">
      <c r="B1908" s="14" t="n"/>
    </row>
    <row r="1909">
      <c r="B1909" s="14" t="n"/>
    </row>
    <row r="1910">
      <c r="B1910" s="14" t="n"/>
    </row>
    <row r="1911">
      <c r="B1911" s="14" t="n"/>
    </row>
    <row r="1912">
      <c r="B1912" s="14" t="n"/>
    </row>
    <row r="1913">
      <c r="B1913" s="14" t="n"/>
    </row>
    <row r="1914">
      <c r="B1914" s="14" t="n"/>
    </row>
    <row r="1915">
      <c r="B1915" s="14" t="n"/>
    </row>
    <row r="1916">
      <c r="B1916" s="14" t="n"/>
    </row>
    <row r="1917">
      <c r="B1917" s="14" t="n"/>
    </row>
    <row r="1918">
      <c r="B1918" s="14" t="n"/>
    </row>
    <row r="1919">
      <c r="B1919" s="14" t="n"/>
    </row>
    <row r="1920">
      <c r="B1920" s="14" t="n"/>
    </row>
    <row r="1921">
      <c r="B1921" s="14" t="n"/>
    </row>
    <row r="1922">
      <c r="B1922" s="14" t="n"/>
    </row>
    <row r="1923">
      <c r="B1923" s="14" t="n"/>
    </row>
    <row r="1924">
      <c r="B1924" s="14" t="n"/>
    </row>
    <row r="1925">
      <c r="B1925" s="14" t="n"/>
    </row>
    <row r="1926">
      <c r="B1926" s="14" t="n"/>
    </row>
    <row r="1927">
      <c r="B1927" s="14" t="n"/>
    </row>
    <row r="1928">
      <c r="B1928" s="14" t="n"/>
    </row>
    <row r="1929">
      <c r="B1929" s="14" t="n"/>
    </row>
    <row r="1930">
      <c r="B1930" s="14" t="n"/>
    </row>
    <row r="1931">
      <c r="B1931" s="14" t="n"/>
    </row>
    <row r="1932">
      <c r="B1932" s="14" t="n"/>
    </row>
    <row r="1933">
      <c r="B1933" s="14" t="n"/>
    </row>
    <row r="1934">
      <c r="B1934" s="14" t="n"/>
    </row>
    <row r="1935">
      <c r="B1935" s="14" t="n"/>
    </row>
    <row r="1936">
      <c r="B1936" s="14" t="n"/>
    </row>
    <row r="1937">
      <c r="B1937" s="14" t="n"/>
    </row>
    <row r="1938">
      <c r="B1938" s="14" t="n"/>
    </row>
    <row r="1939">
      <c r="B1939" s="14" t="n"/>
    </row>
    <row r="1940">
      <c r="B1940" s="14" t="n"/>
    </row>
    <row r="1941">
      <c r="B1941" s="14" t="n"/>
    </row>
    <row r="1942">
      <c r="B1942" s="14" t="n"/>
    </row>
    <row r="1943">
      <c r="B1943" s="14" t="n"/>
    </row>
    <row r="1944">
      <c r="B1944" s="14" t="n"/>
    </row>
    <row r="1945">
      <c r="B1945" s="14" t="n"/>
    </row>
    <row r="1946">
      <c r="B1946" s="14" t="n"/>
    </row>
    <row r="1947">
      <c r="B1947" s="14" t="n"/>
    </row>
    <row r="1948">
      <c r="B1948" s="14" t="n"/>
    </row>
    <row r="1949">
      <c r="B1949" s="14" t="n"/>
    </row>
    <row r="1950">
      <c r="B1950" s="14" t="n"/>
    </row>
    <row r="1951">
      <c r="B1951" s="14" t="n"/>
    </row>
    <row r="1952">
      <c r="B1952" s="14" t="n"/>
    </row>
    <row r="1953">
      <c r="B1953" s="14" t="n"/>
    </row>
    <row r="1954">
      <c r="B1954" s="14" t="n"/>
    </row>
    <row r="1955">
      <c r="B1955" s="14" t="n"/>
    </row>
    <row r="1956">
      <c r="B1956" s="14" t="n"/>
    </row>
    <row r="1957">
      <c r="B1957" s="14" t="n"/>
    </row>
    <row r="1958">
      <c r="B1958" s="14" t="n"/>
    </row>
    <row r="1959">
      <c r="B1959" s="14" t="n"/>
    </row>
    <row r="1960">
      <c r="B1960" s="14" t="n"/>
    </row>
    <row r="1961">
      <c r="B1961" s="14" t="n"/>
    </row>
    <row r="1962">
      <c r="B1962" s="14" t="n"/>
    </row>
    <row r="1963">
      <c r="B1963" s="14" t="n"/>
    </row>
    <row r="1964">
      <c r="B1964" s="14" t="n"/>
    </row>
    <row r="1965">
      <c r="B1965" s="14" t="n"/>
    </row>
    <row r="1966">
      <c r="B1966" s="14" t="n"/>
    </row>
    <row r="1967">
      <c r="B1967" s="14" t="n"/>
    </row>
    <row r="1968">
      <c r="B1968" s="14" t="n"/>
    </row>
    <row r="1969">
      <c r="B1969" s="14" t="n"/>
    </row>
    <row r="1970">
      <c r="B1970" s="14" t="n"/>
    </row>
    <row r="1971">
      <c r="B1971" s="14" t="n"/>
    </row>
    <row r="1972">
      <c r="B1972" s="14" t="n"/>
    </row>
    <row r="1973">
      <c r="B1973" s="14" t="n"/>
    </row>
    <row r="1974">
      <c r="B1974" s="14" t="n"/>
    </row>
    <row r="1975">
      <c r="B1975" s="14" t="n"/>
    </row>
    <row r="1976">
      <c r="B1976" s="14" t="n"/>
    </row>
    <row r="1977">
      <c r="B1977" s="14" t="n"/>
    </row>
    <row r="1978">
      <c r="B1978" s="14" t="n"/>
    </row>
    <row r="1979">
      <c r="B1979" s="14" t="n"/>
    </row>
    <row r="1980">
      <c r="B1980" s="14" t="n"/>
    </row>
    <row r="1981">
      <c r="B1981" s="14" t="n"/>
    </row>
    <row r="1982">
      <c r="B1982" s="14" t="n"/>
    </row>
    <row r="1983">
      <c r="B1983" s="14" t="n"/>
    </row>
    <row r="1984">
      <c r="B1984" s="14" t="n"/>
    </row>
    <row r="1985">
      <c r="B1985" s="14" t="n"/>
    </row>
    <row r="1986">
      <c r="B1986" s="14" t="n"/>
    </row>
    <row r="1987">
      <c r="B1987" s="14" t="n"/>
    </row>
    <row r="1988">
      <c r="B1988" s="14" t="n"/>
    </row>
    <row r="1989">
      <c r="B1989" s="14" t="n"/>
    </row>
    <row r="1990">
      <c r="B1990" s="14" t="n"/>
    </row>
    <row r="1991">
      <c r="B1991" s="14" t="n"/>
    </row>
    <row r="1992">
      <c r="B1992" s="14" t="n"/>
    </row>
    <row r="1993">
      <c r="B1993" s="14" t="n"/>
    </row>
    <row r="1994">
      <c r="B1994" s="14" t="n"/>
    </row>
    <row r="1995">
      <c r="B1995" s="14" t="n"/>
    </row>
    <row r="1996">
      <c r="B1996" s="14" t="n"/>
    </row>
    <row r="1997">
      <c r="B1997" s="14" t="n"/>
    </row>
    <row r="1998">
      <c r="B1998" s="14" t="n"/>
    </row>
    <row r="1999">
      <c r="B1999" s="14" t="n"/>
    </row>
    <row r="2000">
      <c r="B2000" s="14" t="n"/>
    </row>
    <row r="2001">
      <c r="B2001" s="14" t="n"/>
    </row>
    <row r="2002">
      <c r="B2002" s="14" t="n"/>
    </row>
    <row r="2003">
      <c r="B2003" s="14" t="n"/>
    </row>
  </sheetData>
  <mergeCells count="2">
    <mergeCell ref="A2:N2"/>
    <mergeCell ref="A1:N1"/>
  </mergeCells>
  <dataValidations count="1">
    <dataValidation sqref="G4:G2003" showDropDown="0" showInputMessage="0" showErrorMessage="1" allowBlank="1" errorTitle="Invalid Value" error="Please choose a value from the dropdown list." type="list">
      <formula1>"Created,Updated,Password Changed,Accessed,Reviewed,Archived,Restored,Deleted,Compromised,Shared,Revoked"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  <col width="24" customWidth="1" min="5" max="5"/>
    <col width="30" customWidth="1" min="6" max="6"/>
    <col width="18" customWidth="1" min="7" max="7"/>
    <col width="24" customWidth="1" min="8" max="8"/>
    <col width="15" customWidth="1" min="9" max="9"/>
    <col width="15" customWidth="1" min="10" max="10"/>
    <col width="14" customWidth="1" min="11" max="11"/>
    <col width="40" customWidth="1" min="12" max="12"/>
  </cols>
  <sheetData>
    <row r="1" ht="32" customHeight="1">
      <c r="A1" s="1" t="inlineStr">
        <is>
          <t xml:space="preserve">  TENANTS — Client Reference</t>
        </is>
      </c>
    </row>
    <row r="2" ht="20" customHeight="1">
      <c r="A2" s="12" t="inlineStr">
        <is>
          <t>Reference table for all clients. Tenant_Code must be unique (3-5 uppercase letters).</t>
        </is>
      </c>
    </row>
    <row r="3" ht="28" customHeight="1">
      <c r="A3" s="8" t="inlineStr">
        <is>
          <t>TenantID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Industry</t>
        </is>
      </c>
      <c r="E3" s="8" t="inlineStr">
        <is>
          <t>Primary Contact</t>
        </is>
      </c>
      <c r="F3" s="8" t="inlineStr">
        <is>
          <t>Contact Email</t>
        </is>
      </c>
      <c r="G3" s="8" t="inlineStr">
        <is>
          <t>Contact Phone</t>
        </is>
      </c>
      <c r="H3" s="8" t="inlineStr">
        <is>
          <t>Account Manager</t>
        </is>
      </c>
      <c r="I3" s="8" t="inlineStr">
        <is>
          <t>Contract Start</t>
        </is>
      </c>
      <c r="J3" s="8" t="inlineStr">
        <is>
          <t>Contract End</t>
        </is>
      </c>
      <c r="K3" s="8" t="inlineStr">
        <is>
          <t>Status</t>
        </is>
      </c>
      <c r="L3" s="8" t="inlineStr">
        <is>
          <t>Notes</t>
        </is>
      </c>
    </row>
    <row r="4" ht="17" customHeight="1">
      <c r="A4" s="9" t="inlineStr">
        <is>
          <t>T-001</t>
        </is>
      </c>
      <c r="B4" s="9" t="inlineStr">
        <is>
          <t>GBP</t>
        </is>
      </c>
      <c r="C4" s="9" t="inlineStr">
        <is>
          <t>Gravity Business Partners</t>
        </is>
      </c>
      <c r="D4" s="9" t="inlineStr">
        <is>
          <t>IT Services</t>
        </is>
      </c>
      <c r="E4" s="9" t="inlineStr">
        <is>
          <t>Dev Mukherjee</t>
        </is>
      </c>
      <c r="F4" s="9" t="inlineStr">
        <is>
          <t>info@gravity-bp.com</t>
        </is>
      </c>
      <c r="G4" s="9" t="inlineStr">
        <is>
          <t>+971 XX XXX XXXX</t>
        </is>
      </c>
      <c r="H4" s="9" t="inlineStr">
        <is>
          <t>Dev Mukherjee</t>
        </is>
      </c>
      <c r="I4" s="9" t="inlineStr">
        <is>
          <t>2020-01-01</t>
        </is>
      </c>
      <c r="J4" s="9" t="inlineStr"/>
      <c r="K4" s="9" t="inlineStr">
        <is>
          <t>Active</t>
        </is>
      </c>
      <c r="L4" s="9" t="inlineStr">
        <is>
          <t>Internal - own company</t>
        </is>
      </c>
    </row>
    <row r="5" ht="17" customHeight="1">
      <c r="A5" s="9" t="inlineStr">
        <is>
          <t>T-002</t>
        </is>
      </c>
      <c r="B5" s="9" t="inlineStr">
        <is>
          <t>TAS</t>
        </is>
      </c>
      <c r="C5" s="9" t="inlineStr">
        <is>
          <t>TechAlpha Solutions</t>
        </is>
      </c>
      <c r="D5" s="9" t="inlineStr">
        <is>
          <t>Technology</t>
        </is>
      </c>
      <c r="E5" s="9" t="inlineStr">
        <is>
          <t>Ahmed Al Sayed</t>
        </is>
      </c>
      <c r="F5" s="9" t="inlineStr">
        <is>
          <t>admin@techalpha.ae</t>
        </is>
      </c>
      <c r="G5" s="9" t="inlineStr">
        <is>
          <t>+971 50 XXX XXXX</t>
        </is>
      </c>
      <c r="H5" s="9" t="inlineStr">
        <is>
          <t>Dev Mukherjee</t>
        </is>
      </c>
      <c r="I5" s="9" t="inlineStr">
        <is>
          <t>2023-03-15</t>
        </is>
      </c>
      <c r="J5" s="9" t="inlineStr">
        <is>
          <t>2026-03-14</t>
        </is>
      </c>
      <c r="K5" s="9" t="inlineStr">
        <is>
          <t>Active</t>
        </is>
      </c>
      <c r="L5" s="9" t="inlineStr"/>
    </row>
    <row r="6" ht="17" customHeight="1">
      <c r="A6" s="9" t="inlineStr">
        <is>
          <t>T-003</t>
        </is>
      </c>
      <c r="B6" s="9" t="inlineStr">
        <is>
          <t>BKR</t>
        </is>
      </c>
      <c r="C6" s="9" t="inlineStr">
        <is>
          <t>Bakery King LLC</t>
        </is>
      </c>
      <c r="D6" s="9" t="inlineStr">
        <is>
          <t>Food &amp; Beverage</t>
        </is>
      </c>
      <c r="E6" s="9" t="inlineStr">
        <is>
          <t>Sara Mahmoud</t>
        </is>
      </c>
      <c r="F6" s="9" t="inlineStr">
        <is>
          <t>sara@bakeryking.com</t>
        </is>
      </c>
      <c r="G6" s="9" t="inlineStr">
        <is>
          <t>+971 55 XXX XXXX</t>
        </is>
      </c>
      <c r="H6" s="9" t="inlineStr">
        <is>
          <t>Dev Mukherjee</t>
        </is>
      </c>
      <c r="I6" s="9" t="inlineStr">
        <is>
          <t>2022-07-01</t>
        </is>
      </c>
      <c r="J6" s="9" t="inlineStr">
        <is>
          <t>2025-06-30</t>
        </is>
      </c>
      <c r="K6" s="9" t="inlineStr">
        <is>
          <t>Active</t>
        </is>
      </c>
      <c r="L6" s="9" t="inlineStr">
        <is>
          <t>Multiple outlets</t>
        </is>
      </c>
    </row>
    <row r="7" ht="17" customHeight="1">
      <c r="A7" s="9" t="inlineStr">
        <is>
          <t>T-004</t>
        </is>
      </c>
      <c r="B7" s="9" t="inlineStr">
        <is>
          <t>MED</t>
        </is>
      </c>
      <c r="C7" s="9" t="inlineStr">
        <is>
          <t>MediCare Clinics Group</t>
        </is>
      </c>
      <c r="D7" s="9" t="inlineStr">
        <is>
          <t>Healthcare</t>
        </is>
      </c>
      <c r="E7" s="9" t="inlineStr">
        <is>
          <t>Dr. Ravi Sharma</t>
        </is>
      </c>
      <c r="F7" s="9" t="inlineStr">
        <is>
          <t>admin@medicareclinics.ae</t>
        </is>
      </c>
      <c r="G7" s="9" t="inlineStr">
        <is>
          <t>+971 4 XXX XXXX</t>
        </is>
      </c>
      <c r="H7" s="9" t="inlineStr">
        <is>
          <t>Dev Mukherjee</t>
        </is>
      </c>
      <c r="I7" s="9" t="inlineStr">
        <is>
          <t>2024-01-15</t>
        </is>
      </c>
      <c r="J7" s="9" t="inlineStr">
        <is>
          <t>2026-01-14</t>
        </is>
      </c>
      <c r="K7" s="9" t="inlineStr">
        <is>
          <t>Active</t>
        </is>
      </c>
      <c r="L7" s="9" t="inlineStr">
        <is>
          <t>Sensitive - restrict access</t>
        </is>
      </c>
    </row>
    <row r="8" ht="17" customHeight="1">
      <c r="A8" s="9" t="inlineStr">
        <is>
          <t>T-005</t>
        </is>
      </c>
      <c r="B8" s="9" t="inlineStr">
        <is>
          <t>REA</t>
        </is>
      </c>
      <c r="C8" s="9" t="inlineStr">
        <is>
          <t>RealEstate Pro PJSC</t>
        </is>
      </c>
      <c r="D8" s="9" t="inlineStr">
        <is>
          <t>Real Estate</t>
        </is>
      </c>
      <c r="E8" s="9" t="inlineStr">
        <is>
          <t>Khalid Al Rashid</t>
        </is>
      </c>
      <c r="F8" s="9" t="inlineStr">
        <is>
          <t>khalid@realestatepro.ae</t>
        </is>
      </c>
      <c r="G8" s="9" t="inlineStr">
        <is>
          <t>+971 52 XXX XXXX</t>
        </is>
      </c>
      <c r="H8" s="9" t="inlineStr">
        <is>
          <t>Dev Mukherjee</t>
        </is>
      </c>
      <c r="I8" s="9" t="inlineStr">
        <is>
          <t>2023-10-01</t>
        </is>
      </c>
      <c r="J8" s="9" t="inlineStr">
        <is>
          <t>2025-09-30</t>
        </is>
      </c>
      <c r="K8" s="9" t="inlineStr">
        <is>
          <t>Active</t>
        </is>
      </c>
      <c r="L8" s="9" t="inlineStr"/>
    </row>
  </sheetData>
  <mergeCells count="2">
    <mergeCell ref="A2:L2"/>
    <mergeCell ref="A1:L1"/>
  </mergeCells>
  <dataValidations count="1">
    <dataValidation sqref="K4:K103" showDropDown="0" showInputMessage="0" showErrorMessage="1" allowBlank="1" errorTitle="Invalid Value" error="Please choose a value from the dropdown list." type="list">
      <formula1>"Active,Inactive,Prospect,Churned"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65" customWidth="1" min="5" max="5"/>
  </cols>
  <sheetData>
    <row r="1" ht="32" customHeight="1">
      <c r="A1" s="1" t="inlineStr">
        <is>
          <t xml:space="preserve">  CATEGORIES — Credential Category Reference</t>
        </is>
      </c>
    </row>
    <row r="2" ht="20" customHeight="1">
      <c r="A2" s="12" t="inlineStr">
        <is>
          <t>Lookup reference for categories used in Master_Credentials. Do not delete rows.</t>
        </is>
      </c>
    </row>
    <row r="3" ht="28" customHeight="1">
      <c r="A3" s="8" t="inlineStr">
        <is>
          <t>CategoryID</t>
        </is>
      </c>
      <c r="B3" s="8" t="inlineStr">
        <is>
          <t>Category Name</t>
        </is>
      </c>
      <c r="C3" s="8" t="inlineStr">
        <is>
          <t>Category Code</t>
        </is>
      </c>
      <c r="D3" s="8" t="inlineStr">
        <is>
          <t>Description</t>
        </is>
      </c>
      <c r="E3" s="8" t="inlineStr">
        <is>
          <t>Subcategories</t>
        </is>
      </c>
    </row>
    <row r="4" ht="22" customHeight="1">
      <c r="A4" s="9" t="inlineStr">
        <is>
          <t>CAT-001</t>
        </is>
      </c>
      <c r="B4" s="9" t="inlineStr">
        <is>
          <t>Microsoft 365</t>
        </is>
      </c>
      <c r="C4" s="9" t="inlineStr">
        <is>
          <t>M365</t>
        </is>
      </c>
      <c r="D4" s="9" t="inlineStr">
        <is>
          <t>Microsoft 365 tenant and service accounts</t>
        </is>
      </c>
      <c r="E4" s="9" t="inlineStr">
        <is>
          <t>Global Admin; SharePoint Admin; Exchange Admin; Teams Admin; Security &amp; Compliance Admin; Azure AD Admin; Power Platform Admin; Service Account</t>
        </is>
      </c>
    </row>
    <row r="5" ht="22" customHeight="1">
      <c r="A5" s="9" t="inlineStr">
        <is>
          <t>CAT-002</t>
        </is>
      </c>
      <c r="B5" s="9" t="inlineStr">
        <is>
          <t>Azure</t>
        </is>
      </c>
      <c r="C5" s="9" t="inlineStr">
        <is>
          <t>AZ</t>
        </is>
      </c>
      <c r="D5" s="9" t="inlineStr">
        <is>
          <t>Microsoft Azure cloud resources and service principals</t>
        </is>
      </c>
      <c r="E5" s="9" t="inlineStr">
        <is>
          <t>Subscription Owner; Resource Group; Service Principal; App Registration; Storage Account; Key Vault; Virtual Machine; SQL Database; Function App; Logic App</t>
        </is>
      </c>
    </row>
    <row r="6" ht="22" customHeight="1">
      <c r="A6" s="9" t="inlineStr">
        <is>
          <t>CAT-003</t>
        </is>
      </c>
      <c r="B6" s="9" t="inlineStr">
        <is>
          <t>Domain &amp; DNS</t>
        </is>
      </c>
      <c r="C6" s="9" t="inlineStr">
        <is>
          <t>DNS</t>
        </is>
      </c>
      <c r="D6" s="9" t="inlineStr">
        <is>
          <t>Domain registrars, DNS providers and SSL certificates</t>
        </is>
      </c>
      <c r="E6" s="9" t="inlineStr">
        <is>
          <t>Domain Registrar; DNS Provider; SSL Certificate; CDN; Domain Forwarding</t>
        </is>
      </c>
    </row>
    <row r="7" ht="22" customHeight="1">
      <c r="A7" s="9" t="inlineStr">
        <is>
          <t>CAT-004</t>
        </is>
      </c>
      <c r="B7" s="9" t="inlineStr">
        <is>
          <t>Web Hosting</t>
        </is>
      </c>
      <c r="C7" s="9" t="inlineStr">
        <is>
          <t>HOST</t>
        </is>
      </c>
      <c r="D7" s="9" t="inlineStr">
        <is>
          <t>Web hosting control panels and accounts</t>
        </is>
      </c>
      <c r="E7" s="9" t="inlineStr">
        <is>
          <t>cPanel; Plesk; WHM; DirectAdmin; Web Host Login; WordPress Hosting; Reseller Account</t>
        </is>
      </c>
    </row>
    <row r="8" ht="22" customHeight="1">
      <c r="A8" s="9" t="inlineStr">
        <is>
          <t>CAT-005</t>
        </is>
      </c>
      <c r="B8" s="9" t="inlineStr">
        <is>
          <t>FTP / File Transfer</t>
        </is>
      </c>
      <c r="C8" s="9" t="inlineStr">
        <is>
          <t>FTP</t>
        </is>
      </c>
      <c r="D8" s="9" t="inlineStr">
        <is>
          <t>FTP, SFTP and file-transfer credentials</t>
        </is>
      </c>
      <c r="E8" s="9" t="inlineStr">
        <is>
          <t>FTP; SFTP; FTPS; WebDAV; S3 Bucket; File Share</t>
        </is>
      </c>
    </row>
    <row r="9" ht="22" customHeight="1">
      <c r="A9" s="9" t="inlineStr">
        <is>
          <t>CAT-006</t>
        </is>
      </c>
      <c r="B9" s="9" t="inlineStr">
        <is>
          <t>Email System</t>
        </is>
      </c>
      <c r="C9" s="9" t="inlineStr">
        <is>
          <t>MAIL</t>
        </is>
      </c>
      <c r="D9" s="9" t="inlineStr">
        <is>
          <t>Email platforms, SMTP relays and mail admin accounts</t>
        </is>
      </c>
      <c r="E9" s="9" t="inlineStr">
        <is>
          <t>Exchange Online; Gmail Workspace; Zoho Mail; SMTP Relay; Outlook; Exchange On-Prem</t>
        </is>
      </c>
    </row>
    <row r="10" ht="22" customHeight="1">
      <c r="A10" s="9" t="inlineStr">
        <is>
          <t>CAT-007</t>
        </is>
      </c>
      <c r="B10" s="9" t="inlineStr">
        <is>
          <t>Social Media</t>
        </is>
      </c>
      <c r="C10" s="9" t="inlineStr">
        <is>
          <t>SM</t>
        </is>
      </c>
      <c r="D10" s="9" t="inlineStr">
        <is>
          <t>Social media platform accounts and business pages</t>
        </is>
      </c>
      <c r="E10" s="9" t="inlineStr">
        <is>
          <t>Facebook Page; Instagram Business; Twitter / X; LinkedIn Company; YouTube Channel; TikTok Business; Pinterest; Snapchat; Reddit</t>
        </is>
      </c>
    </row>
    <row r="11" ht="22" customHeight="1">
      <c r="A11" s="9" t="inlineStr">
        <is>
          <t>CAT-008</t>
        </is>
      </c>
      <c r="B11" s="9" t="inlineStr">
        <is>
          <t>Marketing Tools</t>
        </is>
      </c>
      <c r="C11" s="9" t="inlineStr">
        <is>
          <t>MKT</t>
        </is>
      </c>
      <c r="D11" s="9" t="inlineStr">
        <is>
          <t>Digital marketing, CRM and analytics platforms</t>
        </is>
      </c>
      <c r="E11" s="9" t="inlineStr">
        <is>
          <t>HubSpot; Mailchimp; ActiveCampaign; Klaviyo; Salesforce; Zoho CRM; Buffer; Hootsuite; Canva; Adobe Creative Cloud; Google Analytics; Google Ads; Meta Ads Manager; LinkedIn Ads; SEMrush; Ahrefs</t>
        </is>
      </c>
    </row>
    <row r="12" ht="22" customHeight="1">
      <c r="A12" s="9" t="inlineStr">
        <is>
          <t>CAT-009</t>
        </is>
      </c>
      <c r="B12" s="9" t="inlineStr">
        <is>
          <t>E-Commerce</t>
        </is>
      </c>
      <c r="C12" s="9" t="inlineStr">
        <is>
          <t>ECOM</t>
        </is>
      </c>
      <c r="D12" s="9" t="inlineStr">
        <is>
          <t>Online store and payment processing accounts</t>
        </is>
      </c>
      <c r="E12" s="9" t="inlineStr">
        <is>
          <t>Shopify; WooCommerce; Magento; Stripe; PayPal; Square; Afterpay; Klarna</t>
        </is>
      </c>
    </row>
    <row r="13" ht="22" customHeight="1">
      <c r="A13" s="9" t="inlineStr">
        <is>
          <t>CAT-010</t>
        </is>
      </c>
      <c r="B13" s="9" t="inlineStr">
        <is>
          <t>Cloud Storage</t>
        </is>
      </c>
      <c r="C13" s="9" t="inlineStr">
        <is>
          <t>STOR</t>
        </is>
      </c>
      <c r="D13" s="9" t="inlineStr">
        <is>
          <t>Cloud storage and file-sharing services</t>
        </is>
      </c>
      <c r="E13" s="9" t="inlineStr">
        <is>
          <t>Dropbox Business; Google Drive; OneDrive; Box; SharePoint; Backblaze; Wasabi</t>
        </is>
      </c>
    </row>
    <row r="14" ht="22" customHeight="1">
      <c r="A14" s="9" t="inlineStr">
        <is>
          <t>CAT-011</t>
        </is>
      </c>
      <c r="B14" s="9" t="inlineStr">
        <is>
          <t>Development &amp; Code</t>
        </is>
      </c>
      <c r="C14" s="9" t="inlineStr">
        <is>
          <t>DEV</t>
        </is>
      </c>
      <c r="D14" s="9" t="inlineStr">
        <is>
          <t>Code repositories, CI/CD and developer platforms</t>
        </is>
      </c>
      <c r="E14" s="9" t="inlineStr">
        <is>
          <t>GitHub Organization; GitLab; Azure DevOps; Bitbucket; Docker Hub; npm; PyPI; AWS Console; Vercel; Netlify; Cloudflare</t>
        </is>
      </c>
    </row>
    <row r="15" ht="22" customHeight="1">
      <c r="A15" s="9" t="inlineStr">
        <is>
          <t>CAT-012</t>
        </is>
      </c>
      <c r="B15" s="9" t="inlineStr">
        <is>
          <t>Database</t>
        </is>
      </c>
      <c r="C15" s="9" t="inlineStr">
        <is>
          <t>DB</t>
        </is>
      </c>
      <c r="D15" s="9" t="inlineStr">
        <is>
          <t>Database server and managed database credentials</t>
        </is>
      </c>
      <c r="E15" s="9" t="inlineStr">
        <is>
          <t>MySQL; PostgreSQL; SQL Server; MongoDB; Firebase; Redis; Supabase; PlanetScale</t>
        </is>
      </c>
    </row>
    <row r="16" ht="22" customHeight="1">
      <c r="A16" s="9" t="inlineStr">
        <is>
          <t>CAT-013</t>
        </is>
      </c>
      <c r="B16" s="9" t="inlineStr">
        <is>
          <t>VPN &amp; Network</t>
        </is>
      </c>
      <c r="C16" s="9" t="inlineStr">
        <is>
          <t>VPN</t>
        </is>
      </c>
      <c r="D16" s="9" t="inlineStr">
        <is>
          <t>VPN, firewall and network appliance access</t>
        </is>
      </c>
      <c r="E16" s="9" t="inlineStr">
        <is>
          <t>VPN Portal; Firewall Admin; Router; Switch; NAS; pfSense; Cisco; Meraki</t>
        </is>
      </c>
    </row>
    <row r="17" ht="22" customHeight="1">
      <c r="A17" s="9" t="inlineStr">
        <is>
          <t>CAT-014</t>
        </is>
      </c>
      <c r="B17" s="9" t="inlineStr">
        <is>
          <t>CMS / Website</t>
        </is>
      </c>
      <c r="C17" s="9" t="inlineStr">
        <is>
          <t>CMS</t>
        </is>
      </c>
      <c r="D17" s="9" t="inlineStr">
        <is>
          <t>Content management systems and website admin panels</t>
        </is>
      </c>
      <c r="E17" s="9" t="inlineStr">
        <is>
          <t>WordPress Admin; Joomla; Drupal; Webflow; Squarespace; Wix; Ghost</t>
        </is>
      </c>
    </row>
    <row r="18" ht="22" customHeight="1">
      <c r="A18" s="9" t="inlineStr">
        <is>
          <t>CAT-015</t>
        </is>
      </c>
      <c r="B18" s="9" t="inlineStr">
        <is>
          <t>HR &amp; Finance</t>
        </is>
      </c>
      <c r="C18" s="9" t="inlineStr">
        <is>
          <t>HRFN</t>
        </is>
      </c>
      <c r="D18" s="9" t="inlineStr">
        <is>
          <t>HR, payroll and accounting platform accounts</t>
        </is>
      </c>
      <c r="E18" s="9" t="inlineStr">
        <is>
          <t>QuickBooks; Xero; Sage; MYOB; ADP; Workday; BambooHR; Employment Hero; Gusto</t>
        </is>
      </c>
    </row>
    <row r="19" ht="22" customHeight="1">
      <c r="A19" s="9" t="inlineStr">
        <is>
          <t>CAT-016</t>
        </is>
      </c>
      <c r="B19" s="9" t="inlineStr">
        <is>
          <t>Support &amp; Ticketing</t>
        </is>
      </c>
      <c r="C19" s="9" t="inlineStr">
        <is>
          <t>SUPP</t>
        </is>
      </c>
      <c r="D19" s="9" t="inlineStr">
        <is>
          <t>Helpdesk, ticketing and project management</t>
        </is>
      </c>
      <c r="E19" s="9" t="inlineStr">
        <is>
          <t>Zendesk; Freshdesk; Jira; ServiceNow; Monday.com; Asana; Trello; ClickUp</t>
        </is>
      </c>
    </row>
    <row r="20" ht="22" customHeight="1">
      <c r="A20" s="9" t="inlineStr">
        <is>
          <t>CAT-017</t>
        </is>
      </c>
      <c r="B20" s="9" t="inlineStr">
        <is>
          <t>Communication</t>
        </is>
      </c>
      <c r="C20" s="9" t="inlineStr">
        <is>
          <t>COMM</t>
        </is>
      </c>
      <c r="D20" s="9" t="inlineStr">
        <is>
          <t>Business communication and video conferencing</t>
        </is>
      </c>
      <c r="E20" s="9" t="inlineStr">
        <is>
          <t>Slack; Microsoft Teams; Zoom; Webex; Google Meet; Skype; Discord</t>
        </is>
      </c>
    </row>
    <row r="21" ht="22" customHeight="1">
      <c r="A21" s="9" t="inlineStr">
        <is>
          <t>CAT-018</t>
        </is>
      </c>
      <c r="B21" s="9" t="inlineStr">
        <is>
          <t>Password Manager</t>
        </is>
      </c>
      <c r="C21" s="9" t="inlineStr">
        <is>
          <t>PM</t>
        </is>
      </c>
      <c r="D21" s="9" t="inlineStr">
        <is>
          <t>Password manager vaults and shared accounts</t>
        </is>
      </c>
      <c r="E21" s="9" t="inlineStr">
        <is>
          <t>1Password; Bitwarden; LastPass; Dashlane; Keeper; NordPass</t>
        </is>
      </c>
    </row>
    <row r="22" ht="22" customHeight="1">
      <c r="A22" s="9" t="inlineStr">
        <is>
          <t>CAT-019</t>
        </is>
      </c>
      <c r="B22" s="9" t="inlineStr">
        <is>
          <t>Other</t>
        </is>
      </c>
      <c r="C22" s="9" t="inlineStr">
        <is>
          <t>OTH</t>
        </is>
      </c>
      <c r="D22" s="9" t="inlineStr">
        <is>
          <t>Miscellaneous credentials not in above categories</t>
        </is>
      </c>
      <c r="E22" s="9" t="inlineStr">
        <is>
          <t>General; Misc; Custom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16" customWidth="1" min="6" max="6"/>
    <col width="14" customWidth="1" min="7" max="7"/>
    <col width="36" customWidth="1" min="8" max="8"/>
  </cols>
  <sheetData>
    <row r="1" ht="32" customHeight="1">
      <c r="A1" s="1" t="inlineStr">
        <is>
          <t xml:space="preserve">  INTERNAL USERS — Staff Access List</t>
        </is>
      </c>
    </row>
    <row r="2" ht="20" customHeight="1">
      <c r="A2" s="12" t="inlineStr">
        <is>
          <t>Staff members with access to this credential store. Remove leavers immediately.</t>
        </is>
      </c>
    </row>
    <row r="3" ht="28" customHeight="1">
      <c r="A3" s="8" t="inlineStr">
        <is>
          <t>UserID</t>
        </is>
      </c>
      <c r="B3" s="8" t="inlineStr">
        <is>
          <t>Full Name</t>
        </is>
      </c>
      <c r="C3" s="8" t="inlineStr">
        <is>
          <t>Email</t>
        </is>
      </c>
      <c r="D3" s="8" t="inlineStr">
        <is>
          <t>Role</t>
        </is>
      </c>
      <c r="E3" s="8" t="inlineStr">
        <is>
          <t>Department</t>
        </is>
      </c>
      <c r="F3" s="8" t="inlineStr">
        <is>
          <t>Access Level</t>
        </is>
      </c>
      <c r="G3" s="8" t="inlineStr">
        <is>
          <t>Status</t>
        </is>
      </c>
      <c r="H3" s="8" t="inlineStr">
        <is>
          <t>Notes</t>
        </is>
      </c>
    </row>
    <row r="4" ht="17" customHeight="1">
      <c r="A4" s="9" t="inlineStr">
        <is>
          <t>USR-001</t>
        </is>
      </c>
      <c r="B4" s="9" t="inlineStr">
        <is>
          <t>Dev Mukherjee</t>
        </is>
      </c>
      <c r="C4" s="9" t="inlineStr">
        <is>
          <t>info@gravity-bp.com</t>
        </is>
      </c>
      <c r="D4" s="9" t="inlineStr">
        <is>
          <t>Admin</t>
        </is>
      </c>
      <c r="E4" s="9" t="inlineStr">
        <is>
          <t>IT</t>
        </is>
      </c>
      <c r="F4" s="9" t="inlineStr">
        <is>
          <t>Full Access</t>
        </is>
      </c>
      <c r="G4" s="9" t="inlineStr">
        <is>
          <t>Active</t>
        </is>
      </c>
      <c r="H4" s="9" t="inlineStr">
        <is>
          <t>Primary admin</t>
        </is>
      </c>
    </row>
    <row r="5" ht="17" customHeight="1">
      <c r="A5" s="9" t="inlineStr">
        <is>
          <t>USR-002</t>
        </is>
      </c>
      <c r="B5" s="9" t="inlineStr">
        <is>
          <t>Support Team</t>
        </is>
      </c>
      <c r="C5" s="9" t="inlineStr">
        <is>
          <t>support@gravity-bp.com</t>
        </is>
      </c>
      <c r="D5" s="9" t="inlineStr">
        <is>
          <t>Technician</t>
        </is>
      </c>
      <c r="E5" s="9" t="inlineStr">
        <is>
          <t>IT</t>
        </is>
      </c>
      <c r="F5" s="9" t="inlineStr">
        <is>
          <t>Manage Only</t>
        </is>
      </c>
      <c r="G5" s="9" t="inlineStr">
        <is>
          <t>Active</t>
        </is>
      </c>
      <c r="H5" s="9" t="inlineStr"/>
    </row>
    <row r="6" ht="17" customHeight="1">
      <c r="A6" s="9" t="inlineStr">
        <is>
          <t>USR-003</t>
        </is>
      </c>
      <c r="B6" s="9" t="inlineStr">
        <is>
          <t>Audit User</t>
        </is>
      </c>
      <c r="C6" s="9" t="inlineStr">
        <is>
          <t>audit@gravity-bp.com</t>
        </is>
      </c>
      <c r="D6" s="9" t="inlineStr">
        <is>
          <t>Auditor</t>
        </is>
      </c>
      <c r="E6" s="9" t="inlineStr">
        <is>
          <t>Compliance</t>
        </is>
      </c>
      <c r="F6" s="9" t="inlineStr">
        <is>
          <t>View Only</t>
        </is>
      </c>
      <c r="G6" s="9" t="inlineStr">
        <is>
          <t>Active</t>
        </is>
      </c>
      <c r="H6" s="9" t="inlineStr">
        <is>
          <t>Read-only audit access</t>
        </is>
      </c>
    </row>
  </sheetData>
  <mergeCells count="2">
    <mergeCell ref="A2:H2"/>
    <mergeCell ref="A1:H1"/>
  </mergeCells>
  <dataValidations count="3">
    <dataValidation sqref="D4:D53" showDropDown="0" showInputMessage="0" showErrorMessage="1" allowBlank="1" errorTitle="Invalid Value" error="Please choose a value from the dropdown list." type="list">
      <formula1>"Admin,Manager,Technician,Viewer,Auditor"</formula1>
    </dataValidation>
    <dataValidation sqref="F4:F53" showDropDown="0" showInputMessage="0" showErrorMessage="1" allowBlank="1" errorTitle="Invalid Value" error="Please choose a value from the dropdown list." type="list">
      <formula1>"Full Access,Manage Only,View Only"</formula1>
    </dataValidation>
    <dataValidation sqref="G4:G53" showDropDown="0" showInputMessage="0" showErrorMessage="1" allowBlank="1" errorTitle="Invalid Value" error="Please choose a value from the dropdown list." type="list">
      <formula1>"Active,Inactive,On Leave"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14" customWidth="1" min="4" max="4"/>
    <col width="4" customWidth="1" min="5" max="5"/>
  </cols>
  <sheetData>
    <row r="1" ht="32" customHeight="1">
      <c r="A1" s="1" t="inlineStr">
        <is>
          <t xml:space="preserve">  DASHBOARD — Live Summary</t>
        </is>
      </c>
    </row>
    <row r="3" ht="20" customHeight="1">
      <c r="A3" s="15" t="inlineStr">
        <is>
          <t xml:space="preserve">  STATUS BREAKDOWN</t>
        </is>
      </c>
    </row>
    <row r="4" ht="18" customHeight="1">
      <c r="A4" s="16" t="inlineStr">
        <is>
          <t>Status</t>
        </is>
      </c>
      <c r="B4" s="16" t="inlineStr">
        <is>
          <t>Count</t>
        </is>
      </c>
      <c r="C4" s="16" t="inlineStr">
        <is>
          <t>Status</t>
        </is>
      </c>
      <c r="D4" s="16" t="inlineStr">
        <is>
          <t>Count</t>
        </is>
      </c>
    </row>
    <row r="5" ht="20" customHeight="1">
      <c r="A5" s="17" t="inlineStr">
        <is>
          <t>Active</t>
        </is>
      </c>
      <c r="B5" s="18">
        <f>COUNTIF(tblCredentials[Status],"Active")</f>
        <v/>
      </c>
      <c r="C5" s="17" t="inlineStr">
        <is>
          <t>Inactive</t>
        </is>
      </c>
      <c r="D5" s="18">
        <f>COUNTIF(tblCredentials[Status],"Inactive")</f>
        <v/>
      </c>
    </row>
    <row r="6" ht="20" customHeight="1">
      <c r="A6" s="17" t="inlineStr">
        <is>
          <t>Expired</t>
        </is>
      </c>
      <c r="B6" s="18">
        <f>COUNTIF(tblCredentials[Status],"Expired")</f>
        <v/>
      </c>
      <c r="C6" s="17" t="inlineStr">
        <is>
          <t>Compromised</t>
        </is>
      </c>
      <c r="D6" s="18">
        <f>COUNTIF(tblCredentials[Status],"Compromised")</f>
        <v/>
      </c>
    </row>
    <row r="7" ht="20" customHeight="1">
      <c r="A7" s="17" t="inlineStr">
        <is>
          <t>Archived</t>
        </is>
      </c>
      <c r="B7" s="18">
        <f>COUNTIF(tblCredentials[Status],"Archived")</f>
        <v/>
      </c>
      <c r="C7" s="17" t="inlineStr">
        <is>
          <t>TOTAL</t>
        </is>
      </c>
      <c r="D7" s="18">
        <f>COUNTA(tblCredentials[CredentialID])</f>
        <v/>
      </c>
    </row>
    <row r="9" ht="20" customHeight="1">
      <c r="A9" s="15" t="inlineStr">
        <is>
          <t xml:space="preserve">  PRIORITY BREAKDOWN</t>
        </is>
      </c>
    </row>
    <row r="10" ht="18" customHeight="1">
      <c r="A10" s="16" t="inlineStr">
        <is>
          <t>Priority</t>
        </is>
      </c>
      <c r="B10" s="16" t="inlineStr">
        <is>
          <t>Count</t>
        </is>
      </c>
      <c r="C10" s="16" t="inlineStr">
        <is>
          <t>Priority</t>
        </is>
      </c>
      <c r="D10" s="16" t="inlineStr">
        <is>
          <t>Count</t>
        </is>
      </c>
    </row>
    <row r="11" ht="20" customHeight="1">
      <c r="A11" s="17" t="inlineStr">
        <is>
          <t>Critical</t>
        </is>
      </c>
      <c r="B11" s="18">
        <f>COUNTIF(tblCredentials[Priority],"Critical")</f>
        <v/>
      </c>
      <c r="C11" s="17" t="inlineStr">
        <is>
          <t>High</t>
        </is>
      </c>
      <c r="D11" s="18">
        <f>COUNTIF(tblCredentials[Priority],"High")</f>
        <v/>
      </c>
    </row>
    <row r="12" ht="20" customHeight="1">
      <c r="A12" s="17" t="inlineStr">
        <is>
          <t>Medium</t>
        </is>
      </c>
      <c r="B12" s="18">
        <f>COUNTIF(tblCredentials[Priority],"Medium")</f>
        <v/>
      </c>
      <c r="C12" s="17" t="inlineStr">
        <is>
          <t>Low</t>
        </is>
      </c>
      <c r="D12" s="18">
        <f>COUNTIF(tblCredentials[Priority],"Low")</f>
        <v/>
      </c>
    </row>
    <row r="14" ht="20" customHeight="1">
      <c r="A14" s="15" t="inlineStr">
        <is>
          <t xml:space="preserve">  EXPIRY ALERTS</t>
        </is>
      </c>
    </row>
    <row r="15" ht="18" customHeight="1">
      <c r="A15" s="16" t="inlineStr">
        <is>
          <t>Alert</t>
        </is>
      </c>
      <c r="B15" s="16" t="inlineStr">
        <is>
          <t>Count</t>
        </is>
      </c>
    </row>
    <row r="16" ht="20" customHeight="1">
      <c r="A16" s="17" t="inlineStr">
        <is>
          <t>Expiring within 30 days</t>
        </is>
      </c>
      <c r="B16" s="18">
        <f>COUNTIFS(tblCredentials[Subscription_End],"&gt;="&amp;TODAY(),tblCredentials[Subscription_End],"&lt;="&amp;(TODAY()+30))</f>
        <v/>
      </c>
    </row>
    <row r="17" ht="20" customHeight="1">
      <c r="A17" s="17" t="inlineStr">
        <is>
          <t>Expiring within 90 days</t>
        </is>
      </c>
      <c r="B17" s="18">
        <f>COUNTIFS(tblCredentials[Subscription_End],"&gt;="&amp;TODAY(),tblCredentials[Subscription_End],"&lt;="&amp;(TODAY()+90))</f>
        <v/>
      </c>
    </row>
    <row r="18" ht="20" customHeight="1">
      <c r="A18" s="17" t="inlineStr">
        <is>
          <t>Already expired</t>
        </is>
      </c>
      <c r="B18" s="18">
        <f>COUNTIFS(tblCredentials[Subscription_End],"&lt;"&amp;TODAY(),tblCredentials[Subscription_End],"&lt;&gt;")</f>
        <v/>
      </c>
    </row>
    <row r="19" ht="20" customHeight="1">
      <c r="A19" s="17" t="inlineStr">
        <is>
          <t>MFA not enabled</t>
        </is>
      </c>
      <c r="B19" s="18">
        <f>COUNTIF(tblCredentials[MFA_Enabled],"No")</f>
        <v/>
      </c>
    </row>
    <row r="21" ht="20" customHeight="1">
      <c r="A21" s="15" t="inlineStr">
        <is>
          <t xml:space="preserve">  CREDENTIALS BY CATEGORY</t>
        </is>
      </c>
    </row>
    <row r="22" ht="18" customHeight="1">
      <c r="A22" s="16" t="inlineStr">
        <is>
          <t>Category</t>
        </is>
      </c>
      <c r="B22" s="16" t="inlineStr">
        <is>
          <t>Count</t>
        </is>
      </c>
      <c r="C22" s="16" t="inlineStr">
        <is>
          <t>Category</t>
        </is>
      </c>
      <c r="D22" s="16" t="inlineStr">
        <is>
          <t>Count</t>
        </is>
      </c>
    </row>
    <row r="23" ht="18" customHeight="1">
      <c r="A23" s="17" t="inlineStr">
        <is>
          <t>Microsoft 365</t>
        </is>
      </c>
      <c r="B23" s="19">
        <f>COUNTIF(tblCredentials[Category],"Microsoft 365")</f>
        <v/>
      </c>
      <c r="C23" s="17" t="inlineStr">
        <is>
          <t>Development &amp; Code</t>
        </is>
      </c>
      <c r="D23" s="19">
        <f>COUNTIF(tblCredentials[Category],"Development &amp; Code")</f>
        <v/>
      </c>
    </row>
    <row r="24" ht="18" customHeight="1">
      <c r="A24" s="17" t="inlineStr">
        <is>
          <t>Azure</t>
        </is>
      </c>
      <c r="B24" s="19">
        <f>COUNTIF(tblCredentials[Category],"Azure")</f>
        <v/>
      </c>
      <c r="C24" s="17" t="inlineStr">
        <is>
          <t>Database</t>
        </is>
      </c>
      <c r="D24" s="19">
        <f>COUNTIF(tblCredentials[Category],"Database")</f>
        <v/>
      </c>
    </row>
    <row r="25" ht="18" customHeight="1">
      <c r="A25" s="17" t="inlineStr">
        <is>
          <t>Domain &amp; DNS</t>
        </is>
      </c>
      <c r="B25" s="19">
        <f>COUNTIF(tblCredentials[Category],"Domain &amp; DNS")</f>
        <v/>
      </c>
      <c r="C25" s="17" t="inlineStr">
        <is>
          <t>VPN &amp; Network</t>
        </is>
      </c>
      <c r="D25" s="19">
        <f>COUNTIF(tblCredentials[Category],"VPN &amp; Network")</f>
        <v/>
      </c>
    </row>
    <row r="26" ht="18" customHeight="1">
      <c r="A26" s="17" t="inlineStr">
        <is>
          <t>Web Hosting</t>
        </is>
      </c>
      <c r="B26" s="19">
        <f>COUNTIF(tblCredentials[Category],"Web Hosting")</f>
        <v/>
      </c>
      <c r="C26" s="17" t="inlineStr">
        <is>
          <t>CMS / Website</t>
        </is>
      </c>
      <c r="D26" s="19">
        <f>COUNTIF(tblCredentials[Category],"CMS / Website")</f>
        <v/>
      </c>
    </row>
    <row r="27" ht="18" customHeight="1">
      <c r="A27" s="17" t="inlineStr">
        <is>
          <t>FTP / File Transfer</t>
        </is>
      </c>
      <c r="B27" s="19">
        <f>COUNTIF(tblCredentials[Category],"FTP / File Transfer")</f>
        <v/>
      </c>
      <c r="C27" s="17" t="inlineStr">
        <is>
          <t>HR &amp; Finance</t>
        </is>
      </c>
      <c r="D27" s="19">
        <f>COUNTIF(tblCredentials[Category],"HR &amp; Finance")</f>
        <v/>
      </c>
    </row>
    <row r="28" ht="18" customHeight="1">
      <c r="A28" s="17" t="inlineStr">
        <is>
          <t>Email System</t>
        </is>
      </c>
      <c r="B28" s="19">
        <f>COUNTIF(tblCredentials[Category],"Email System")</f>
        <v/>
      </c>
      <c r="C28" s="17" t="inlineStr">
        <is>
          <t>Support &amp; Ticketing</t>
        </is>
      </c>
      <c r="D28" s="19">
        <f>COUNTIF(tblCredentials[Category],"Support &amp; Ticketing")</f>
        <v/>
      </c>
    </row>
    <row r="29" ht="18" customHeight="1">
      <c r="A29" s="17" t="inlineStr">
        <is>
          <t>Social Media</t>
        </is>
      </c>
      <c r="B29" s="19">
        <f>COUNTIF(tblCredentials[Category],"Social Media")</f>
        <v/>
      </c>
      <c r="C29" s="17" t="inlineStr">
        <is>
          <t>Communication</t>
        </is>
      </c>
      <c r="D29" s="19">
        <f>COUNTIF(tblCredentials[Category],"Communication")</f>
        <v/>
      </c>
    </row>
    <row r="30" ht="18" customHeight="1">
      <c r="A30" s="17" t="inlineStr">
        <is>
          <t>Marketing Tools</t>
        </is>
      </c>
      <c r="B30" s="19">
        <f>COUNTIF(tblCredentials[Category],"Marketing Tools")</f>
        <v/>
      </c>
      <c r="C30" s="17" t="inlineStr">
        <is>
          <t>Password Manager</t>
        </is>
      </c>
      <c r="D30" s="19">
        <f>COUNTIF(tblCredentials[Category],"Password Manager")</f>
        <v/>
      </c>
    </row>
    <row r="31" ht="18" customHeight="1">
      <c r="A31" s="17" t="inlineStr">
        <is>
          <t>E-Commerce</t>
        </is>
      </c>
      <c r="B31" s="19">
        <f>COUNTIF(tblCredentials[Category],"E-Commerce")</f>
        <v/>
      </c>
      <c r="C31" s="17" t="inlineStr">
        <is>
          <t>Other</t>
        </is>
      </c>
      <c r="D31" s="19">
        <f>COUNTIF(tblCredentials[Category],"Other")</f>
        <v/>
      </c>
    </row>
    <row r="32" ht="18" customHeight="1">
      <c r="A32" s="17" t="inlineStr">
        <is>
          <t>Cloud Storage</t>
        </is>
      </c>
      <c r="B32" s="19">
        <f>COUNTIF(tblCredentials[Category],"Cloud Storage")</f>
        <v/>
      </c>
    </row>
    <row r="35" ht="20" customHeight="1">
      <c r="A35" s="15" t="inlineStr">
        <is>
          <t xml:space="preserve">  CREDENTIALS BY TENANT</t>
        </is>
      </c>
    </row>
    <row r="36" ht="18" customHeight="1">
      <c r="A36" s="16" t="inlineStr">
        <is>
          <t>Tenant</t>
        </is>
      </c>
      <c r="B36" s="16" t="inlineStr">
        <is>
          <t>Code</t>
        </is>
      </c>
      <c r="C36" s="16" t="inlineStr">
        <is>
          <t>Count</t>
        </is>
      </c>
    </row>
    <row r="37" ht="18" customHeight="1">
      <c r="A37" s="17" t="inlineStr">
        <is>
          <t>Gravity Business Partners</t>
        </is>
      </c>
      <c r="B37" s="20" t="inlineStr">
        <is>
          <t>GBP</t>
        </is>
      </c>
      <c r="C37" s="19">
        <f>COUNTIF(tblCredentials[Tenant_Code],"GBP")</f>
        <v/>
      </c>
    </row>
    <row r="38" ht="18" customHeight="1">
      <c r="A38" s="17" t="inlineStr">
        <is>
          <t>TechAlpha Solutions</t>
        </is>
      </c>
      <c r="B38" s="20" t="inlineStr">
        <is>
          <t>TAS</t>
        </is>
      </c>
      <c r="C38" s="19">
        <f>COUNTIF(tblCredentials[Tenant_Code],"TAS")</f>
        <v/>
      </c>
    </row>
    <row r="39" ht="18" customHeight="1">
      <c r="A39" s="17" t="inlineStr">
        <is>
          <t>Bakery King LLC</t>
        </is>
      </c>
      <c r="B39" s="20" t="inlineStr">
        <is>
          <t>BKR</t>
        </is>
      </c>
      <c r="C39" s="19">
        <f>COUNTIF(tblCredentials[Tenant_Code],"BKR")</f>
        <v/>
      </c>
    </row>
    <row r="40" ht="18" customHeight="1">
      <c r="A40" s="17" t="inlineStr">
        <is>
          <t>MediCare Clinics Group</t>
        </is>
      </c>
      <c r="B40" s="20" t="inlineStr">
        <is>
          <t>MED</t>
        </is>
      </c>
      <c r="C40" s="19">
        <f>COUNTIF(tblCredentials[Tenant_Code],"MED")</f>
        <v/>
      </c>
    </row>
    <row r="41" ht="18" customHeight="1">
      <c r="A41" s="17" t="inlineStr">
        <is>
          <t>RealEstate Pro PJSC</t>
        </is>
      </c>
      <c r="B41" s="20" t="inlineStr">
        <is>
          <t>REA</t>
        </is>
      </c>
      <c r="C41" s="19">
        <f>COUNTIF(tblCredentials[Tenant_Code],"REA")</f>
        <v/>
      </c>
    </row>
    <row r="44">
      <c r="A44" s="21">
        <f>TODAY()</f>
        <v/>
      </c>
    </row>
  </sheetData>
  <mergeCells count="7">
    <mergeCell ref="A1:D1"/>
    <mergeCell ref="A9:D9"/>
    <mergeCell ref="A35:D35"/>
    <mergeCell ref="A3:D3"/>
    <mergeCell ref="A21:D21"/>
    <mergeCell ref="A14:D14"/>
    <mergeCell ref="A44:D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Microsoft 365 Admin Credentials</t>
        </is>
      </c>
    </row>
    <row r="2" ht="20" customHeight="1">
      <c r="A2" s="12" t="inlineStr">
        <is>
          <t>LIVE VIEW  |  Microsoft 365 credentials across all tenants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IFERROR(FILTER(tblCredentials,tblCredentials[Category]="Microsoft 365","No Microsoft 365 credentials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Azure Credentials</t>
        </is>
      </c>
    </row>
    <row r="2" ht="20" customHeight="1">
      <c r="A2" s="12" t="inlineStr">
        <is>
          <t>LIVE VIEW  |  Azure credentials across all tenants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IFERROR(FILTER(tblCredentials,tblCredentials[Category]="Azure","No Azure credentials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Domain, Hosting &amp; FTP Credentials</t>
        </is>
      </c>
    </row>
    <row r="2" ht="20" customHeight="1">
      <c r="A2" s="12" t="inlineStr">
        <is>
          <t>LIVE VIEW  |  Domain &amp; DNS | Web Hosting | FTP / File Transfer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IFERROR(FILTER(tblCredentials,(tblCredentials[Category]="Domain &amp; DNS")+(tblCredentials[Category]="Web Hosting")+(tblCredentials[Category]="FTP / File Transfer"),"No records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Social Media Credentials</t>
        </is>
      </c>
    </row>
    <row r="2" ht="20" customHeight="1">
      <c r="A2" s="12" t="inlineStr">
        <is>
          <t>LIVE VIEW  |  Social Media credentials across all tenants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IFERROR(FILTER(tblCredentials,tblCredentials[Category]="Social Media","No Social Media credentials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Marketing Tools Credentials</t>
        </is>
      </c>
    </row>
    <row r="2" ht="20" customHeight="1">
      <c r="A2" s="12" t="inlineStr">
        <is>
          <t>LIVE VIEW  |  Marketing Tools | E-Commerce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IFERROR(FILTER(tblCredentials,(tblCredentials[Category]="Marketing Tools")+(tblCredentials[Category]="E-Commerce"),"No records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Email System Credentials</t>
        </is>
      </c>
    </row>
    <row r="2" ht="20" customHeight="1">
      <c r="A2" s="12" t="inlineStr">
        <is>
          <t>LIVE VIEW  |  Email System credentials across all tenants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IFERROR(FILTER(tblCredentials,tblCredentials[Category]="Email System","No Email System credentials found."),"Error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14" customWidth="1" min="8" max="8"/>
    <col width="14" customWidth="1" min="9" max="9"/>
    <col width="11" customWidth="1" min="10" max="10"/>
    <col width="30" customWidth="1" min="11" max="11"/>
    <col width="24" customWidth="1" min="12" max="12"/>
    <col width="30" customWidth="1" min="13" max="13"/>
    <col width="17" customWidth="1" min="14" max="14"/>
    <col width="11" customWidth="1" min="15" max="15"/>
    <col width="20" customWidth="1" min="16" max="16"/>
    <col width="18" customWidth="1" min="17" max="17"/>
    <col width="28" customWidth="1" min="18" max="18"/>
    <col width="28" customWidth="1" min="19" max="19"/>
    <col width="26" customWidth="1" min="20" max="20"/>
    <col width="24" customWidth="1" min="21" max="21"/>
    <col width="20" customWidth="1" min="22" max="22"/>
    <col width="16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30" customWidth="1" min="29" max="29"/>
    <col width="24" customWidth="1" min="30" max="30"/>
    <col width="16" customWidth="1" min="31" max="31"/>
    <col width="18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28" customWidth="1" min="39" max="39"/>
    <col width="8" customWidth="1" min="40" max="40"/>
    <col width="13" customWidth="1" min="41" max="41"/>
    <col width="18" customWidth="1" min="42" max="42"/>
    <col width="22" customWidth="1" min="43" max="43"/>
    <col width="30" customWidth="1" min="44" max="44"/>
    <col width="22" customWidth="1" min="45" max="45"/>
    <col width="14" customWidth="1" min="46" max="46"/>
    <col width="22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26" customWidth="1" min="53" max="53"/>
    <col width="42" customWidth="1" min="54" max="54"/>
    <col width="14" customWidth="1" min="55" max="55"/>
  </cols>
  <sheetData>
    <row r="1" ht="32" customHeight="1">
      <c r="A1" s="1" t="inlineStr">
        <is>
          <t xml:space="preserve">  VIEW — Credentials Expiring Within 90 Days</t>
        </is>
      </c>
    </row>
    <row r="2" ht="20" customHeight="1">
      <c r="A2" s="12" t="inlineStr">
        <is>
          <t>LIVE VIEW  |  Subscription_End is within the next 90 days  |  Updates automatically from Master_Credentials. Edit data in Master_Credentials only.</t>
        </is>
      </c>
    </row>
    <row r="3" ht="28" customHeight="1">
      <c r="A3" s="8" t="inlineStr">
        <is>
          <t>CredentialID</t>
        </is>
      </c>
      <c r="B3" s="8" t="inlineStr">
        <is>
          <t>Tenant Code</t>
        </is>
      </c>
      <c r="C3" s="8" t="inlineStr">
        <is>
          <t>Tenant Name</t>
        </is>
      </c>
      <c r="D3" s="8" t="inlineStr">
        <is>
          <t>Category</t>
        </is>
      </c>
      <c r="E3" s="8" t="inlineStr">
        <is>
          <t>Subcategory</t>
        </is>
      </c>
      <c r="F3" s="8" t="inlineStr">
        <is>
          <t>Service Name</t>
        </is>
      </c>
      <c r="G3" s="8" t="inlineStr">
        <is>
          <t>Service URL</t>
        </is>
      </c>
      <c r="H3" s="8" t="inlineStr">
        <is>
          <t>Environment</t>
        </is>
      </c>
      <c r="I3" s="8" t="inlineStr">
        <is>
          <t>Status</t>
        </is>
      </c>
      <c r="J3" s="8" t="inlineStr">
        <is>
          <t>Priority</t>
        </is>
      </c>
      <c r="K3" s="8" t="inlineStr">
        <is>
          <t>Username Email</t>
        </is>
      </c>
      <c r="L3" s="8" t="inlineStr">
        <is>
          <t>Password</t>
        </is>
      </c>
      <c r="M3" s="8" t="inlineStr">
        <is>
          <t>Recovery Email</t>
        </is>
      </c>
      <c r="N3" s="8" t="inlineStr">
        <is>
          <t>Recovery Phone</t>
        </is>
      </c>
      <c r="O3" s="8" t="inlineStr">
        <is>
          <t>MFA Enabled</t>
        </is>
      </c>
      <c r="P3" s="8" t="inlineStr">
        <is>
          <t>MFA Type</t>
        </is>
      </c>
      <c r="Q3" s="8" t="inlineStr">
        <is>
          <t>MFA App Name</t>
        </is>
      </c>
      <c r="R3" s="8" t="inlineStr">
        <is>
          <t>Backup Codes Location</t>
        </is>
      </c>
      <c r="S3" s="8" t="inlineStr">
        <is>
          <t>Security Notes</t>
        </is>
      </c>
      <c r="T3" s="8" t="inlineStr">
        <is>
          <t>Account Display Name</t>
        </is>
      </c>
      <c r="U3" s="8" t="inlineStr">
        <is>
          <t>Account ID</t>
        </is>
      </c>
      <c r="V3" s="8" t="inlineStr">
        <is>
          <t>License Type</t>
        </is>
      </c>
      <c r="W3" s="8" t="inlineStr">
        <is>
          <t>Plan Tier</t>
        </is>
      </c>
      <c r="X3" s="8" t="inlineStr">
        <is>
          <t>Subscription Start</t>
        </is>
      </c>
      <c r="Y3" s="8" t="inlineStr">
        <is>
          <t>Subscription End</t>
        </is>
      </c>
      <c r="Z3" s="8" t="inlineStr">
        <is>
          <t>Auto Renewal</t>
        </is>
      </c>
      <c r="AA3" s="8" t="inlineStr">
        <is>
          <t>Monthly Cost</t>
        </is>
      </c>
      <c r="AB3" s="8" t="inlineStr">
        <is>
          <t>Billing Cycle</t>
        </is>
      </c>
      <c r="AC3" s="8" t="inlineStr">
        <is>
          <t>Billing Email</t>
        </is>
      </c>
      <c r="AD3" s="8" t="inlineStr">
        <is>
          <t>Payment Reference</t>
        </is>
      </c>
      <c r="AE3" s="8" t="inlineStr">
        <is>
          <t>Access Level</t>
        </is>
      </c>
      <c r="AF3" s="8" t="inlineStr">
        <is>
          <t>Linked CredentialID</t>
        </is>
      </c>
      <c r="AG3" s="8" t="inlineStr">
        <is>
          <t>API Key</t>
        </is>
      </c>
      <c r="AH3" s="8" t="inlineStr">
        <is>
          <t>API Secret</t>
        </is>
      </c>
      <c r="AI3" s="8" t="inlineStr">
        <is>
          <t>Client ID</t>
        </is>
      </c>
      <c r="AJ3" s="8" t="inlineStr">
        <is>
          <t>Client Secret</t>
        </is>
      </c>
      <c r="AK3" s="8" t="inlineStr">
        <is>
          <t>Tenant ID App</t>
        </is>
      </c>
      <c r="AL3" s="8" t="inlineStr">
        <is>
          <t>Subscription ID Azure</t>
        </is>
      </c>
      <c r="AM3" s="8" t="inlineStr">
        <is>
          <t>Server Hostname</t>
        </is>
      </c>
      <c r="AN3" s="8" t="inlineStr">
        <is>
          <t>Port</t>
        </is>
      </c>
      <c r="AO3" s="8" t="inlineStr">
        <is>
          <t>Protocol</t>
        </is>
      </c>
      <c r="AP3" s="8" t="inlineStr">
        <is>
          <t>Database Name</t>
        </is>
      </c>
      <c r="AQ3" s="8" t="inlineStr">
        <is>
          <t>Managed By</t>
        </is>
      </c>
      <c r="AR3" s="8" t="inlineStr">
        <is>
          <t>Managed By Email</t>
        </is>
      </c>
      <c r="AS3" s="8" t="inlineStr">
        <is>
          <t>Created By</t>
        </is>
      </c>
      <c r="AT3" s="8" t="inlineStr">
        <is>
          <t>Created Date</t>
        </is>
      </c>
      <c r="AU3" s="8" t="inlineStr">
        <is>
          <t>Last Updated By</t>
        </is>
      </c>
      <c r="AV3" s="8" t="inlineStr">
        <is>
          <t>Last Updated Date</t>
        </is>
      </c>
      <c r="AW3" s="8" t="inlineStr">
        <is>
          <t>Last Verified Date</t>
        </is>
      </c>
      <c r="AX3" s="8" t="inlineStr">
        <is>
          <t>Last Password Changed</t>
        </is>
      </c>
      <c r="AY3" s="8" t="inlineStr">
        <is>
          <t>Password Expiry Date</t>
        </is>
      </c>
      <c r="AZ3" s="8" t="inlineStr">
        <is>
          <t>Next Review Date</t>
        </is>
      </c>
      <c r="BA3" s="8" t="inlineStr">
        <is>
          <t>Tags</t>
        </is>
      </c>
      <c r="BB3" s="8" t="inlineStr">
        <is>
          <t>Notes</t>
        </is>
      </c>
      <c r="BC3" s="8" t="inlineStr">
        <is>
          <t>Record Status</t>
        </is>
      </c>
    </row>
    <row r="4">
      <c r="A4" s="6">
        <f>IFERROR(FILTER(tblCredentials,(tblCredentials[Subscription_End]-TODAY()&lt;=90)*(tblCredentials[Subscription_End]&gt;=TODAY()),"No credentials expiring within 90 days."),"Error loading data.")</f>
        <v/>
      </c>
    </row>
  </sheetData>
  <mergeCells count="2">
    <mergeCell ref="A1:BC1"/>
    <mergeCell ref="A2:B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2026-06-19T04:00:11Z</dcterms:created>
  <dcterms:modified xmlns:dcterms="http://purl.org/dc/terms/" xmlns:xsi="http://www.w3.org/2001/XMLSchema-instance" xsi:type="dcterms:W3CDTF">2026-06-19T04:00:11Z</dcterms:modified>
</cp:coreProperties>
</file>